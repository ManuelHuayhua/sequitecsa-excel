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li_macro\"/>
    </mc:Choice>
  </mc:AlternateContent>
  <xr:revisionPtr revIDLastSave="0" documentId="13_ncr:1_{DA8EB8D8-606E-46F5-82E1-C7A97A335F09}" xr6:coauthVersionLast="47" xr6:coauthVersionMax="47" xr10:uidLastSave="{00000000-0000-0000-0000-000000000000}"/>
  <bookViews>
    <workbookView xWindow="-108" yWindow="-108" windowWidth="23256" windowHeight="12456" activeTab="1" xr2:uid="{4C861E34-FEA1-47C9-8C03-15631E3CEB88}"/>
  </bookViews>
  <sheets>
    <sheet name="ventas" sheetId="2" r:id="rId1"/>
    <sheet name="cobros" sheetId="3" r:id="rId2"/>
    <sheet name="Hoja4" sheetId="4" r:id="rId3"/>
    <sheet name="Hoja1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3" l="1"/>
  <c r="I9" i="3"/>
  <c r="I10" i="3"/>
  <c r="I11" i="3"/>
  <c r="U405" i="2" l="1"/>
  <c r="V405" i="2" s="1"/>
  <c r="W405" i="2" s="1"/>
  <c r="X405" i="2" s="1"/>
  <c r="U404" i="2"/>
  <c r="V404" i="2" s="1"/>
  <c r="W404" i="2" s="1"/>
  <c r="X404" i="2" s="1"/>
  <c r="W403" i="2"/>
  <c r="X403" i="2" s="1"/>
  <c r="V403" i="2"/>
  <c r="U403" i="2"/>
  <c r="U402" i="2"/>
  <c r="V402" i="2" s="1"/>
  <c r="W402" i="2" s="1"/>
  <c r="X402" i="2" s="1"/>
  <c r="U401" i="2"/>
  <c r="V401" i="2" s="1"/>
  <c r="W401" i="2" s="1"/>
  <c r="X401" i="2" s="1"/>
  <c r="U400" i="2"/>
  <c r="V400" i="2" s="1"/>
  <c r="W400" i="2" s="1"/>
  <c r="X400" i="2" s="1"/>
  <c r="X399" i="2"/>
  <c r="W399" i="2"/>
  <c r="V399" i="2"/>
  <c r="U399" i="2"/>
  <c r="X398" i="2"/>
  <c r="U398" i="2"/>
  <c r="V398" i="2" s="1"/>
  <c r="W398" i="2" s="1"/>
  <c r="U397" i="2"/>
  <c r="V397" i="2" s="1"/>
  <c r="W397" i="2" s="1"/>
  <c r="X397" i="2" s="1"/>
  <c r="V396" i="2"/>
  <c r="W396" i="2" s="1"/>
  <c r="X396" i="2" s="1"/>
  <c r="U396" i="2"/>
  <c r="W395" i="2"/>
  <c r="X395" i="2" s="1"/>
  <c r="V395" i="2"/>
  <c r="U395" i="2"/>
  <c r="U394" i="2"/>
  <c r="V394" i="2" s="1"/>
  <c r="W394" i="2" s="1"/>
  <c r="X394" i="2" s="1"/>
  <c r="V393" i="2"/>
  <c r="W393" i="2" s="1"/>
  <c r="X393" i="2" s="1"/>
  <c r="U393" i="2"/>
  <c r="U392" i="2"/>
  <c r="V392" i="2" s="1"/>
  <c r="W392" i="2" s="1"/>
  <c r="X392" i="2" s="1"/>
  <c r="W391" i="2"/>
  <c r="X391" i="2" s="1"/>
  <c r="V391" i="2"/>
  <c r="U391" i="2"/>
  <c r="U390" i="2"/>
  <c r="V390" i="2" s="1"/>
  <c r="W390" i="2" s="1"/>
  <c r="X390" i="2" s="1"/>
  <c r="U389" i="2"/>
  <c r="V389" i="2" s="1"/>
  <c r="W389" i="2" s="1"/>
  <c r="X389" i="2" s="1"/>
  <c r="W388" i="2"/>
  <c r="X388" i="2" s="1"/>
  <c r="V388" i="2"/>
  <c r="U388" i="2"/>
  <c r="W387" i="2"/>
  <c r="X387" i="2" s="1"/>
  <c r="V387" i="2"/>
  <c r="U387" i="2"/>
  <c r="X386" i="2"/>
  <c r="U386" i="2"/>
  <c r="V386" i="2" s="1"/>
  <c r="W386" i="2" s="1"/>
  <c r="U385" i="2"/>
  <c r="V385" i="2" s="1"/>
  <c r="W385" i="2" s="1"/>
  <c r="X385" i="2" s="1"/>
  <c r="U384" i="2"/>
  <c r="V384" i="2" s="1"/>
  <c r="W384" i="2" s="1"/>
  <c r="X384" i="2" s="1"/>
  <c r="X383" i="2"/>
  <c r="W383" i="2"/>
  <c r="V383" i="2"/>
  <c r="U383" i="2"/>
  <c r="U382" i="2"/>
  <c r="V382" i="2" s="1"/>
  <c r="W382" i="2" s="1"/>
  <c r="X382" i="2" s="1"/>
  <c r="V381" i="2"/>
  <c r="W381" i="2" s="1"/>
  <c r="X381" i="2" s="1"/>
  <c r="U381" i="2"/>
  <c r="V380" i="2"/>
  <c r="W380" i="2" s="1"/>
  <c r="X380" i="2" s="1"/>
  <c r="U380" i="2"/>
  <c r="W379" i="2"/>
  <c r="X379" i="2" s="1"/>
  <c r="V379" i="2"/>
  <c r="U379" i="2"/>
  <c r="U378" i="2"/>
  <c r="V378" i="2" s="1"/>
  <c r="W378" i="2" s="1"/>
  <c r="X378" i="2" s="1"/>
  <c r="U377" i="2"/>
  <c r="V377" i="2" s="1"/>
  <c r="W377" i="2" s="1"/>
  <c r="X377" i="2" s="1"/>
  <c r="U376" i="2"/>
  <c r="V376" i="2" s="1"/>
  <c r="W376" i="2" s="1"/>
  <c r="X376" i="2" s="1"/>
  <c r="W375" i="2"/>
  <c r="X375" i="2" s="1"/>
  <c r="V375" i="2"/>
  <c r="U375" i="2"/>
  <c r="U374" i="2"/>
  <c r="V374" i="2" s="1"/>
  <c r="W374" i="2" s="1"/>
  <c r="X374" i="2" s="1"/>
  <c r="W373" i="2"/>
  <c r="X373" i="2" s="1"/>
  <c r="U373" i="2"/>
  <c r="V373" i="2" s="1"/>
  <c r="V372" i="2"/>
  <c r="W372" i="2" s="1"/>
  <c r="X372" i="2" s="1"/>
  <c r="U372" i="2"/>
  <c r="X371" i="2"/>
  <c r="W371" i="2"/>
  <c r="V371" i="2"/>
  <c r="U371" i="2"/>
  <c r="U370" i="2"/>
  <c r="V370" i="2" s="1"/>
  <c r="W370" i="2" s="1"/>
  <c r="X370" i="2" s="1"/>
  <c r="U369" i="2"/>
  <c r="V369" i="2" s="1"/>
  <c r="W369" i="2" s="1"/>
  <c r="X369" i="2" s="1"/>
  <c r="V368" i="2"/>
  <c r="W368" i="2" s="1"/>
  <c r="X368" i="2" s="1"/>
  <c r="U368" i="2"/>
  <c r="W367" i="2"/>
  <c r="X367" i="2" s="1"/>
  <c r="V367" i="2"/>
  <c r="U367" i="2"/>
  <c r="U366" i="2"/>
  <c r="V366" i="2" s="1"/>
  <c r="W366" i="2" s="1"/>
  <c r="X366" i="2" s="1"/>
  <c r="V365" i="2"/>
  <c r="W365" i="2" s="1"/>
  <c r="X365" i="2" s="1"/>
  <c r="U365" i="2"/>
  <c r="U364" i="2"/>
  <c r="V364" i="2" s="1"/>
  <c r="W364" i="2" s="1"/>
  <c r="X364" i="2" s="1"/>
  <c r="W363" i="2"/>
  <c r="X363" i="2" s="1"/>
  <c r="V363" i="2"/>
  <c r="U363" i="2"/>
  <c r="X362" i="2"/>
  <c r="U362" i="2"/>
  <c r="V362" i="2" s="1"/>
  <c r="W362" i="2" s="1"/>
  <c r="U361" i="2"/>
  <c r="V361" i="2" s="1"/>
  <c r="W361" i="2" s="1"/>
  <c r="X361" i="2" s="1"/>
  <c r="V360" i="2"/>
  <c r="W360" i="2" s="1"/>
  <c r="X360" i="2" s="1"/>
  <c r="U360" i="2"/>
  <c r="W359" i="2"/>
  <c r="X359" i="2" s="1"/>
  <c r="V359" i="2"/>
  <c r="U359" i="2"/>
  <c r="X358" i="2"/>
  <c r="U358" i="2"/>
  <c r="V358" i="2" s="1"/>
  <c r="W358" i="2" s="1"/>
  <c r="V357" i="2"/>
  <c r="W357" i="2" s="1"/>
  <c r="X357" i="2" s="1"/>
  <c r="U357" i="2"/>
  <c r="U356" i="2"/>
  <c r="V356" i="2" s="1"/>
  <c r="W356" i="2" s="1"/>
  <c r="X356" i="2" s="1"/>
  <c r="W355" i="2"/>
  <c r="X355" i="2" s="1"/>
  <c r="V355" i="2"/>
  <c r="U355" i="2"/>
  <c r="U354" i="2"/>
  <c r="V354" i="2" s="1"/>
  <c r="W354" i="2" s="1"/>
  <c r="X354" i="2" s="1"/>
  <c r="V353" i="2"/>
  <c r="W353" i="2" s="1"/>
  <c r="X353" i="2" s="1"/>
  <c r="U353" i="2"/>
  <c r="U352" i="2"/>
  <c r="V352" i="2" s="1"/>
  <c r="W352" i="2" s="1"/>
  <c r="X352" i="2" s="1"/>
  <c r="W351" i="2"/>
  <c r="X351" i="2" s="1"/>
  <c r="V351" i="2"/>
  <c r="U351" i="2"/>
  <c r="X350" i="2"/>
  <c r="U350" i="2"/>
  <c r="V350" i="2" s="1"/>
  <c r="W350" i="2" s="1"/>
  <c r="U349" i="2"/>
  <c r="V349" i="2" s="1"/>
  <c r="W349" i="2" s="1"/>
  <c r="X349" i="2" s="1"/>
  <c r="U348" i="2"/>
  <c r="V348" i="2" s="1"/>
  <c r="W348" i="2" s="1"/>
  <c r="X348" i="2" s="1"/>
  <c r="X347" i="2"/>
  <c r="W347" i="2"/>
  <c r="V347" i="2"/>
  <c r="U347" i="2"/>
  <c r="X346" i="2"/>
  <c r="U346" i="2"/>
  <c r="V346" i="2" s="1"/>
  <c r="W346" i="2" s="1"/>
  <c r="V345" i="2"/>
  <c r="W345" i="2" s="1"/>
  <c r="X345" i="2" s="1"/>
  <c r="U345" i="2"/>
  <c r="V344" i="2"/>
  <c r="W344" i="2" s="1"/>
  <c r="X344" i="2" s="1"/>
  <c r="U344" i="2"/>
  <c r="T343" i="2"/>
  <c r="U343" i="2" s="1"/>
  <c r="V343" i="2" s="1"/>
  <c r="W343" i="2" s="1"/>
  <c r="X343" i="2" s="1"/>
  <c r="R343" i="2"/>
  <c r="U342" i="2"/>
  <c r="V342" i="2" s="1"/>
  <c r="W342" i="2" s="1"/>
  <c r="X342" i="2" s="1"/>
  <c r="U341" i="2"/>
  <c r="V341" i="2" s="1"/>
  <c r="W341" i="2" s="1"/>
  <c r="X341" i="2" s="1"/>
  <c r="U340" i="2"/>
  <c r="V340" i="2" s="1"/>
  <c r="W340" i="2" s="1"/>
  <c r="X340" i="2" s="1"/>
  <c r="V339" i="2"/>
  <c r="W339" i="2" s="1"/>
  <c r="X339" i="2" s="1"/>
  <c r="U339" i="2"/>
  <c r="W338" i="2"/>
  <c r="X338" i="2" s="1"/>
  <c r="U338" i="2"/>
  <c r="V338" i="2" s="1"/>
  <c r="U337" i="2"/>
  <c r="V337" i="2" s="1"/>
  <c r="W337" i="2" s="1"/>
  <c r="X337" i="2" s="1"/>
  <c r="W336" i="2"/>
  <c r="X336" i="2" s="1"/>
  <c r="V336" i="2"/>
  <c r="U336" i="2"/>
  <c r="V335" i="2"/>
  <c r="W335" i="2" s="1"/>
  <c r="X335" i="2" s="1"/>
  <c r="U335" i="2"/>
  <c r="U334" i="2"/>
  <c r="V334" i="2" s="1"/>
  <c r="W334" i="2" s="1"/>
  <c r="X334" i="2" s="1"/>
  <c r="X333" i="2"/>
  <c r="V333" i="2"/>
  <c r="W333" i="2" s="1"/>
  <c r="U333" i="2"/>
  <c r="U332" i="2"/>
  <c r="V332" i="2" s="1"/>
  <c r="W332" i="2" s="1"/>
  <c r="X332" i="2" s="1"/>
  <c r="V331" i="2"/>
  <c r="W331" i="2" s="1"/>
  <c r="X331" i="2" s="1"/>
  <c r="U331" i="2"/>
  <c r="W330" i="2"/>
  <c r="X330" i="2" s="1"/>
  <c r="U330" i="2"/>
  <c r="V330" i="2" s="1"/>
  <c r="U329" i="2"/>
  <c r="V329" i="2" s="1"/>
  <c r="W329" i="2" s="1"/>
  <c r="X329" i="2" s="1"/>
  <c r="X328" i="2"/>
  <c r="V328" i="2"/>
  <c r="W328" i="2" s="1"/>
  <c r="U328" i="2"/>
  <c r="V327" i="2"/>
  <c r="W327" i="2" s="1"/>
  <c r="X327" i="2" s="1"/>
  <c r="U327" i="2"/>
  <c r="U326" i="2"/>
  <c r="V326" i="2" s="1"/>
  <c r="W326" i="2" s="1"/>
  <c r="X326" i="2" s="1"/>
  <c r="U325" i="2"/>
  <c r="V325" i="2" s="1"/>
  <c r="W325" i="2" s="1"/>
  <c r="X325" i="2" s="1"/>
  <c r="U324" i="2"/>
  <c r="V324" i="2" s="1"/>
  <c r="W324" i="2" s="1"/>
  <c r="X324" i="2" s="1"/>
  <c r="V323" i="2"/>
  <c r="W323" i="2" s="1"/>
  <c r="X323" i="2" s="1"/>
  <c r="U323" i="2"/>
  <c r="W322" i="2"/>
  <c r="X322" i="2" s="1"/>
  <c r="U322" i="2"/>
  <c r="V322" i="2" s="1"/>
  <c r="U321" i="2"/>
  <c r="V321" i="2" s="1"/>
  <c r="W321" i="2" s="1"/>
  <c r="X321" i="2" s="1"/>
  <c r="W320" i="2"/>
  <c r="X320" i="2" s="1"/>
  <c r="V320" i="2"/>
  <c r="U320" i="2"/>
  <c r="V319" i="2"/>
  <c r="W319" i="2" s="1"/>
  <c r="X319" i="2" s="1"/>
  <c r="U319" i="2"/>
  <c r="T318" i="2"/>
  <c r="U318" i="2" s="1"/>
  <c r="V318" i="2" s="1"/>
  <c r="W318" i="2" s="1"/>
  <c r="X318" i="2" s="1"/>
  <c r="T317" i="2"/>
  <c r="U317" i="2" s="1"/>
  <c r="V317" i="2" s="1"/>
  <c r="W317" i="2" s="1"/>
  <c r="X317" i="2" s="1"/>
  <c r="W316" i="2"/>
  <c r="X316" i="2" s="1"/>
  <c r="V316" i="2"/>
  <c r="U316" i="2"/>
  <c r="U315" i="2"/>
  <c r="V315" i="2" s="1"/>
  <c r="W315" i="2" s="1"/>
  <c r="X315" i="2" s="1"/>
  <c r="W314" i="2"/>
  <c r="X314" i="2" s="1"/>
  <c r="U314" i="2"/>
  <c r="V314" i="2" s="1"/>
  <c r="U313" i="2"/>
  <c r="V313" i="2" s="1"/>
  <c r="W313" i="2" s="1"/>
  <c r="X313" i="2" s="1"/>
  <c r="W312" i="2"/>
  <c r="X312" i="2" s="1"/>
  <c r="V312" i="2"/>
  <c r="U312" i="2"/>
  <c r="X311" i="2"/>
  <c r="U311" i="2"/>
  <c r="V311" i="2" s="1"/>
  <c r="W311" i="2" s="1"/>
  <c r="V310" i="2"/>
  <c r="W310" i="2" s="1"/>
  <c r="X310" i="2" s="1"/>
  <c r="U310" i="2"/>
  <c r="T309" i="2"/>
  <c r="U309" i="2" s="1"/>
  <c r="V309" i="2" s="1"/>
  <c r="W309" i="2" s="1"/>
  <c r="X309" i="2" s="1"/>
  <c r="U308" i="2"/>
  <c r="V308" i="2" s="1"/>
  <c r="W308" i="2" s="1"/>
  <c r="X308" i="2" s="1"/>
  <c r="V307" i="2"/>
  <c r="W307" i="2" s="1"/>
  <c r="X307" i="2" s="1"/>
  <c r="U307" i="2"/>
  <c r="V306" i="2"/>
  <c r="W306" i="2" s="1"/>
  <c r="X306" i="2" s="1"/>
  <c r="U306" i="2"/>
  <c r="W305" i="2"/>
  <c r="X305" i="2" s="1"/>
  <c r="V305" i="2"/>
  <c r="U305" i="2"/>
  <c r="U304" i="2"/>
  <c r="V304" i="2" s="1"/>
  <c r="W304" i="2" s="1"/>
  <c r="X304" i="2" s="1"/>
  <c r="V303" i="2"/>
  <c r="W303" i="2" s="1"/>
  <c r="X303" i="2" s="1"/>
  <c r="U303" i="2"/>
  <c r="U302" i="2"/>
  <c r="V302" i="2" s="1"/>
  <c r="W302" i="2" s="1"/>
  <c r="X302" i="2" s="1"/>
  <c r="V301" i="2"/>
  <c r="W301" i="2" s="1"/>
  <c r="X301" i="2" s="1"/>
  <c r="U301" i="2"/>
  <c r="U300" i="2"/>
  <c r="V300" i="2" s="1"/>
  <c r="W300" i="2" s="1"/>
  <c r="X300" i="2" s="1"/>
  <c r="V299" i="2"/>
  <c r="W299" i="2" s="1"/>
  <c r="X299" i="2" s="1"/>
  <c r="U299" i="2"/>
  <c r="U298" i="2"/>
  <c r="V298" i="2" s="1"/>
  <c r="W298" i="2" s="1"/>
  <c r="X298" i="2" s="1"/>
  <c r="U297" i="2"/>
  <c r="V297" i="2" s="1"/>
  <c r="W297" i="2" s="1"/>
  <c r="X297" i="2" s="1"/>
  <c r="X296" i="2"/>
  <c r="U296" i="2"/>
  <c r="V296" i="2" s="1"/>
  <c r="W296" i="2" s="1"/>
  <c r="V295" i="2"/>
  <c r="W295" i="2" s="1"/>
  <c r="X295" i="2" s="1"/>
  <c r="U295" i="2"/>
  <c r="U294" i="2"/>
  <c r="V294" i="2" s="1"/>
  <c r="W294" i="2" s="1"/>
  <c r="X294" i="2" s="1"/>
  <c r="U293" i="2"/>
  <c r="V293" i="2" s="1"/>
  <c r="W293" i="2" s="1"/>
  <c r="X293" i="2" s="1"/>
  <c r="U292" i="2"/>
  <c r="V292" i="2" s="1"/>
  <c r="W292" i="2" s="1"/>
  <c r="X292" i="2" s="1"/>
  <c r="V291" i="2"/>
  <c r="W291" i="2" s="1"/>
  <c r="X291" i="2" s="1"/>
  <c r="U291" i="2"/>
  <c r="V290" i="2"/>
  <c r="W290" i="2" s="1"/>
  <c r="X290" i="2" s="1"/>
  <c r="U290" i="2"/>
  <c r="U289" i="2"/>
  <c r="V289" i="2" s="1"/>
  <c r="W289" i="2" s="1"/>
  <c r="X289" i="2" s="1"/>
  <c r="U288" i="2"/>
  <c r="V288" i="2" s="1"/>
  <c r="W288" i="2" s="1"/>
  <c r="X288" i="2" s="1"/>
  <c r="V287" i="2"/>
  <c r="W287" i="2" s="1"/>
  <c r="X287" i="2" s="1"/>
  <c r="U287" i="2"/>
  <c r="U286" i="2"/>
  <c r="V286" i="2" s="1"/>
  <c r="W286" i="2" s="1"/>
  <c r="X286" i="2" s="1"/>
  <c r="V285" i="2"/>
  <c r="W285" i="2" s="1"/>
  <c r="X285" i="2" s="1"/>
  <c r="U285" i="2"/>
  <c r="U284" i="2"/>
  <c r="V284" i="2" s="1"/>
  <c r="W284" i="2" s="1"/>
  <c r="X284" i="2" s="1"/>
  <c r="V283" i="2"/>
  <c r="W283" i="2" s="1"/>
  <c r="X283" i="2" s="1"/>
  <c r="U283" i="2"/>
  <c r="V282" i="2"/>
  <c r="W282" i="2" s="1"/>
  <c r="X282" i="2" s="1"/>
  <c r="U282" i="2"/>
  <c r="U281" i="2"/>
  <c r="V281" i="2" s="1"/>
  <c r="W281" i="2" s="1"/>
  <c r="X281" i="2" s="1"/>
  <c r="U280" i="2"/>
  <c r="V280" i="2" s="1"/>
  <c r="W280" i="2" s="1"/>
  <c r="X280" i="2" s="1"/>
  <c r="V279" i="2"/>
  <c r="W279" i="2" s="1"/>
  <c r="X279" i="2" s="1"/>
  <c r="U279" i="2"/>
  <c r="W278" i="2"/>
  <c r="X278" i="2" s="1"/>
  <c r="U278" i="2"/>
  <c r="V278" i="2" s="1"/>
  <c r="U277" i="2"/>
  <c r="V277" i="2" s="1"/>
  <c r="W277" i="2" s="1"/>
  <c r="X277" i="2" s="1"/>
  <c r="U276" i="2"/>
  <c r="V276" i="2" s="1"/>
  <c r="W276" i="2" s="1"/>
  <c r="X276" i="2" s="1"/>
  <c r="U275" i="2"/>
  <c r="V275" i="2" s="1"/>
  <c r="W275" i="2" s="1"/>
  <c r="X275" i="2" s="1"/>
  <c r="U274" i="2"/>
  <c r="V274" i="2" s="1"/>
  <c r="W274" i="2" s="1"/>
  <c r="X274" i="2" s="1"/>
  <c r="X273" i="2"/>
  <c r="U273" i="2"/>
  <c r="V273" i="2" s="1"/>
  <c r="W273" i="2" s="1"/>
  <c r="X272" i="2"/>
  <c r="U272" i="2"/>
  <c r="V272" i="2" s="1"/>
  <c r="W272" i="2" s="1"/>
  <c r="U271" i="2"/>
  <c r="V271" i="2" s="1"/>
  <c r="W271" i="2" s="1"/>
  <c r="X271" i="2" s="1"/>
  <c r="V270" i="2"/>
  <c r="W270" i="2" s="1"/>
  <c r="X270" i="2" s="1"/>
  <c r="U270" i="2"/>
  <c r="U269" i="2"/>
  <c r="V269" i="2" s="1"/>
  <c r="W269" i="2" s="1"/>
  <c r="X269" i="2" s="1"/>
  <c r="U268" i="2"/>
  <c r="V268" i="2" s="1"/>
  <c r="W268" i="2" s="1"/>
  <c r="X268" i="2" s="1"/>
  <c r="V267" i="2"/>
  <c r="W267" i="2" s="1"/>
  <c r="X267" i="2" s="1"/>
  <c r="U267" i="2"/>
  <c r="U266" i="2"/>
  <c r="V266" i="2" s="1"/>
  <c r="W266" i="2" s="1"/>
  <c r="X266" i="2" s="1"/>
  <c r="U265" i="2"/>
  <c r="V265" i="2" s="1"/>
  <c r="W265" i="2" s="1"/>
  <c r="X265" i="2" s="1"/>
  <c r="X264" i="2"/>
  <c r="U264" i="2"/>
  <c r="V264" i="2" s="1"/>
  <c r="W264" i="2" s="1"/>
  <c r="U263" i="2"/>
  <c r="V263" i="2" s="1"/>
  <c r="W263" i="2" s="1"/>
  <c r="X263" i="2" s="1"/>
  <c r="W262" i="2"/>
  <c r="X262" i="2" s="1"/>
  <c r="U262" i="2"/>
  <c r="V262" i="2" s="1"/>
  <c r="V261" i="2"/>
  <c r="W261" i="2" s="1"/>
  <c r="X261" i="2" s="1"/>
  <c r="U261" i="2"/>
  <c r="X260" i="2"/>
  <c r="U260" i="2"/>
  <c r="V260" i="2" s="1"/>
  <c r="W260" i="2" s="1"/>
  <c r="U259" i="2"/>
  <c r="V259" i="2" s="1"/>
  <c r="W259" i="2" s="1"/>
  <c r="X259" i="2" s="1"/>
  <c r="U258" i="2"/>
  <c r="V258" i="2" s="1"/>
  <c r="W258" i="2" s="1"/>
  <c r="X258" i="2" s="1"/>
  <c r="V257" i="2"/>
  <c r="W257" i="2" s="1"/>
  <c r="X257" i="2" s="1"/>
  <c r="U257" i="2"/>
  <c r="U256" i="2"/>
  <c r="V256" i="2" s="1"/>
  <c r="W256" i="2" s="1"/>
  <c r="X256" i="2" s="1"/>
  <c r="V255" i="2"/>
  <c r="W255" i="2" s="1"/>
  <c r="X255" i="2" s="1"/>
  <c r="U255" i="2"/>
  <c r="V254" i="2"/>
  <c r="W254" i="2" s="1"/>
  <c r="X254" i="2" s="1"/>
  <c r="U254" i="2"/>
  <c r="U253" i="2"/>
  <c r="V253" i="2" s="1"/>
  <c r="W253" i="2" s="1"/>
  <c r="X253" i="2" s="1"/>
  <c r="U252" i="2"/>
  <c r="V252" i="2" s="1"/>
  <c r="W252" i="2" s="1"/>
  <c r="X252" i="2" s="1"/>
  <c r="U251" i="2"/>
  <c r="V251" i="2" s="1"/>
  <c r="W251" i="2" s="1"/>
  <c r="X251" i="2" s="1"/>
  <c r="U250" i="2"/>
  <c r="V250" i="2" s="1"/>
  <c r="W250" i="2" s="1"/>
  <c r="X250" i="2" s="1"/>
  <c r="V249" i="2"/>
  <c r="W249" i="2" s="1"/>
  <c r="X249" i="2" s="1"/>
  <c r="U249" i="2"/>
  <c r="U248" i="2"/>
  <c r="V248" i="2" s="1"/>
  <c r="W248" i="2" s="1"/>
  <c r="X248" i="2" s="1"/>
  <c r="U247" i="2"/>
  <c r="V247" i="2" s="1"/>
  <c r="W247" i="2" s="1"/>
  <c r="X247" i="2" s="1"/>
  <c r="V246" i="2"/>
  <c r="W246" i="2" s="1"/>
  <c r="X246" i="2" s="1"/>
  <c r="U246" i="2"/>
  <c r="U245" i="2"/>
  <c r="V245" i="2" s="1"/>
  <c r="W245" i="2" s="1"/>
  <c r="X245" i="2" s="1"/>
  <c r="U244" i="2"/>
  <c r="V244" i="2" s="1"/>
  <c r="W244" i="2" s="1"/>
  <c r="X244" i="2" s="1"/>
  <c r="U243" i="2"/>
  <c r="V243" i="2" s="1"/>
  <c r="W243" i="2" s="1"/>
  <c r="X243" i="2" s="1"/>
  <c r="V242" i="2"/>
  <c r="W242" i="2" s="1"/>
  <c r="X242" i="2" s="1"/>
  <c r="U242" i="2"/>
  <c r="U241" i="2"/>
  <c r="V241" i="2" s="1"/>
  <c r="W241" i="2" s="1"/>
  <c r="X241" i="2" s="1"/>
  <c r="U240" i="2"/>
  <c r="V240" i="2" s="1"/>
  <c r="W240" i="2" s="1"/>
  <c r="X240" i="2" s="1"/>
  <c r="U239" i="2"/>
  <c r="V239" i="2" s="1"/>
  <c r="W239" i="2" s="1"/>
  <c r="X239" i="2" s="1"/>
  <c r="U238" i="2"/>
  <c r="V238" i="2" s="1"/>
  <c r="W238" i="2" s="1"/>
  <c r="X238" i="2" s="1"/>
  <c r="U237" i="2"/>
  <c r="V237" i="2" s="1"/>
  <c r="W237" i="2" s="1"/>
  <c r="X237" i="2" s="1"/>
  <c r="X236" i="2"/>
  <c r="U236" i="2"/>
  <c r="V236" i="2" s="1"/>
  <c r="W236" i="2" s="1"/>
  <c r="U235" i="2"/>
  <c r="V235" i="2" s="1"/>
  <c r="W235" i="2" s="1"/>
  <c r="X235" i="2" s="1"/>
  <c r="V234" i="2"/>
  <c r="W234" i="2" s="1"/>
  <c r="X234" i="2" s="1"/>
  <c r="U234" i="2"/>
  <c r="V233" i="2"/>
  <c r="W233" i="2" s="1"/>
  <c r="X233" i="2" s="1"/>
  <c r="U233" i="2"/>
  <c r="X232" i="2"/>
  <c r="U232" i="2"/>
  <c r="V232" i="2" s="1"/>
  <c r="W232" i="2" s="1"/>
  <c r="V231" i="2"/>
  <c r="W231" i="2" s="1"/>
  <c r="X231" i="2" s="1"/>
  <c r="U231" i="2"/>
  <c r="U230" i="2"/>
  <c r="V230" i="2" s="1"/>
  <c r="W230" i="2" s="1"/>
  <c r="X230" i="2" s="1"/>
  <c r="X229" i="2"/>
  <c r="W229" i="2"/>
  <c r="U229" i="2"/>
  <c r="V229" i="2" s="1"/>
  <c r="U228" i="2"/>
  <c r="V228" i="2" s="1"/>
  <c r="W228" i="2" s="1"/>
  <c r="X228" i="2" s="1"/>
  <c r="V227" i="2"/>
  <c r="W227" i="2" s="1"/>
  <c r="X227" i="2" s="1"/>
  <c r="U227" i="2"/>
  <c r="U226" i="2"/>
  <c r="V226" i="2" s="1"/>
  <c r="W226" i="2" s="1"/>
  <c r="X226" i="2" s="1"/>
  <c r="U225" i="2"/>
  <c r="V225" i="2" s="1"/>
  <c r="W225" i="2" s="1"/>
  <c r="X225" i="2" s="1"/>
  <c r="X224" i="2"/>
  <c r="U224" i="2"/>
  <c r="V224" i="2" s="1"/>
  <c r="W224" i="2" s="1"/>
  <c r="U223" i="2"/>
  <c r="V223" i="2" s="1"/>
  <c r="W223" i="2" s="1"/>
  <c r="X223" i="2" s="1"/>
  <c r="U222" i="2"/>
  <c r="V222" i="2" s="1"/>
  <c r="W222" i="2" s="1"/>
  <c r="X222" i="2" s="1"/>
  <c r="V221" i="2"/>
  <c r="W221" i="2" s="1"/>
  <c r="X221" i="2" s="1"/>
  <c r="U221" i="2"/>
  <c r="X220" i="2"/>
  <c r="W220" i="2"/>
  <c r="U220" i="2"/>
  <c r="V220" i="2" s="1"/>
  <c r="X219" i="2"/>
  <c r="U219" i="2"/>
  <c r="V219" i="2" s="1"/>
  <c r="W219" i="2" s="1"/>
  <c r="U218" i="2"/>
  <c r="V218" i="2" s="1"/>
  <c r="W218" i="2" s="1"/>
  <c r="X218" i="2" s="1"/>
  <c r="V217" i="2"/>
  <c r="W217" i="2" s="1"/>
  <c r="X217" i="2" s="1"/>
  <c r="U217" i="2"/>
  <c r="U216" i="2"/>
  <c r="V216" i="2" s="1"/>
  <c r="W216" i="2" s="1"/>
  <c r="X216" i="2" s="1"/>
  <c r="V215" i="2"/>
  <c r="W215" i="2" s="1"/>
  <c r="X215" i="2" s="1"/>
  <c r="U215" i="2"/>
  <c r="U214" i="2"/>
  <c r="V214" i="2" s="1"/>
  <c r="W214" i="2" s="1"/>
  <c r="X214" i="2" s="1"/>
  <c r="U213" i="2"/>
  <c r="V213" i="2" s="1"/>
  <c r="W213" i="2" s="1"/>
  <c r="X213" i="2" s="1"/>
  <c r="U212" i="2"/>
  <c r="V212" i="2" s="1"/>
  <c r="W212" i="2" s="1"/>
  <c r="X212" i="2" s="1"/>
  <c r="V211" i="2"/>
  <c r="W211" i="2" s="1"/>
  <c r="X211" i="2" s="1"/>
  <c r="U211" i="2"/>
  <c r="U210" i="2"/>
  <c r="V210" i="2" s="1"/>
  <c r="W210" i="2" s="1"/>
  <c r="X210" i="2" s="1"/>
  <c r="W209" i="2"/>
  <c r="X209" i="2" s="1"/>
  <c r="U209" i="2"/>
  <c r="V209" i="2" s="1"/>
  <c r="U208" i="2"/>
  <c r="V208" i="2" s="1"/>
  <c r="W208" i="2" s="1"/>
  <c r="X208" i="2" s="1"/>
  <c r="V207" i="2"/>
  <c r="W207" i="2" s="1"/>
  <c r="X207" i="2" s="1"/>
  <c r="U207" i="2"/>
  <c r="U206" i="2"/>
  <c r="V206" i="2" s="1"/>
  <c r="W206" i="2" s="1"/>
  <c r="X206" i="2" s="1"/>
  <c r="U205" i="2"/>
  <c r="V205" i="2" s="1"/>
  <c r="W205" i="2" s="1"/>
  <c r="X205" i="2" s="1"/>
  <c r="W204" i="2"/>
  <c r="X204" i="2" s="1"/>
  <c r="U204" i="2"/>
  <c r="V204" i="2" s="1"/>
  <c r="V203" i="2"/>
  <c r="W203" i="2" s="1"/>
  <c r="X203" i="2" s="1"/>
  <c r="U203" i="2"/>
  <c r="U202" i="2"/>
  <c r="V202" i="2" s="1"/>
  <c r="W202" i="2" s="1"/>
  <c r="X202" i="2" s="1"/>
  <c r="U201" i="2"/>
  <c r="V201" i="2" s="1"/>
  <c r="W201" i="2" s="1"/>
  <c r="X201" i="2" s="1"/>
  <c r="W200" i="2"/>
  <c r="X200" i="2" s="1"/>
  <c r="U200" i="2"/>
  <c r="V200" i="2" s="1"/>
  <c r="U199" i="2"/>
  <c r="V199" i="2" s="1"/>
  <c r="W199" i="2" s="1"/>
  <c r="X199" i="2" s="1"/>
  <c r="V198" i="2"/>
  <c r="W198" i="2" s="1"/>
  <c r="X198" i="2" s="1"/>
  <c r="U198" i="2"/>
  <c r="U197" i="2"/>
  <c r="V197" i="2" s="1"/>
  <c r="W197" i="2" s="1"/>
  <c r="X197" i="2" s="1"/>
  <c r="U196" i="2"/>
  <c r="V196" i="2" s="1"/>
  <c r="W196" i="2" s="1"/>
  <c r="X196" i="2" s="1"/>
  <c r="U195" i="2"/>
  <c r="V195" i="2" s="1"/>
  <c r="W195" i="2" s="1"/>
  <c r="X195" i="2" s="1"/>
  <c r="V194" i="2"/>
  <c r="W194" i="2" s="1"/>
  <c r="X194" i="2" s="1"/>
  <c r="U194" i="2"/>
  <c r="U193" i="2"/>
  <c r="V193" i="2" s="1"/>
  <c r="W193" i="2" s="1"/>
  <c r="X193" i="2" s="1"/>
  <c r="X192" i="2"/>
  <c r="W192" i="2"/>
  <c r="U192" i="2"/>
  <c r="V192" i="2" s="1"/>
  <c r="U191" i="2"/>
  <c r="V191" i="2" s="1"/>
  <c r="W191" i="2" s="1"/>
  <c r="X191" i="2" s="1"/>
  <c r="U190" i="2"/>
  <c r="V190" i="2" s="1"/>
  <c r="W190" i="2" s="1"/>
  <c r="X190" i="2" s="1"/>
  <c r="V189" i="2"/>
  <c r="W189" i="2" s="1"/>
  <c r="X189" i="2" s="1"/>
  <c r="U189" i="2"/>
  <c r="U188" i="2"/>
  <c r="V188" i="2" s="1"/>
  <c r="W188" i="2" s="1"/>
  <c r="X188" i="2" s="1"/>
  <c r="X187" i="2"/>
  <c r="U187" i="2"/>
  <c r="V187" i="2" s="1"/>
  <c r="W187" i="2" s="1"/>
  <c r="U186" i="2"/>
  <c r="V186" i="2" s="1"/>
  <c r="W186" i="2" s="1"/>
  <c r="X186" i="2" s="1"/>
  <c r="V185" i="2"/>
  <c r="W185" i="2" s="1"/>
  <c r="X185" i="2" s="1"/>
  <c r="U185" i="2"/>
  <c r="X184" i="2"/>
  <c r="U184" i="2"/>
  <c r="V184" i="2" s="1"/>
  <c r="W184" i="2" s="1"/>
  <c r="U183" i="2"/>
  <c r="V183" i="2" s="1"/>
  <c r="W183" i="2" s="1"/>
  <c r="X183" i="2" s="1"/>
  <c r="U182" i="2"/>
  <c r="V182" i="2" s="1"/>
  <c r="W182" i="2" s="1"/>
  <c r="X182" i="2" s="1"/>
  <c r="U181" i="2"/>
  <c r="V181" i="2" s="1"/>
  <c r="W181" i="2" s="1"/>
  <c r="X181" i="2" s="1"/>
  <c r="U180" i="2"/>
  <c r="V180" i="2" s="1"/>
  <c r="W180" i="2" s="1"/>
  <c r="X180" i="2" s="1"/>
  <c r="U179" i="2"/>
  <c r="V179" i="2" s="1"/>
  <c r="W179" i="2" s="1"/>
  <c r="X179" i="2" s="1"/>
  <c r="U178" i="2"/>
  <c r="V178" i="2" s="1"/>
  <c r="W178" i="2" s="1"/>
  <c r="X178" i="2" s="1"/>
  <c r="U177" i="2"/>
  <c r="V177" i="2" s="1"/>
  <c r="W177" i="2" s="1"/>
  <c r="X177" i="2" s="1"/>
  <c r="U176" i="2"/>
  <c r="V176" i="2" s="1"/>
  <c r="W176" i="2" s="1"/>
  <c r="X176" i="2" s="1"/>
  <c r="V175" i="2"/>
  <c r="W175" i="2" s="1"/>
  <c r="X175" i="2" s="1"/>
  <c r="U175" i="2"/>
  <c r="V174" i="2"/>
  <c r="W174" i="2" s="1"/>
  <c r="X174" i="2" s="1"/>
  <c r="U174" i="2"/>
  <c r="U173" i="2"/>
  <c r="V173" i="2" s="1"/>
  <c r="W173" i="2" s="1"/>
  <c r="X173" i="2" s="1"/>
  <c r="W172" i="2"/>
  <c r="X172" i="2" s="1"/>
  <c r="U172" i="2"/>
  <c r="V172" i="2" s="1"/>
  <c r="V171" i="2"/>
  <c r="W171" i="2" s="1"/>
  <c r="X171" i="2" s="1"/>
  <c r="U171" i="2"/>
  <c r="U170" i="2"/>
  <c r="V170" i="2" s="1"/>
  <c r="W170" i="2" s="1"/>
  <c r="X170" i="2" s="1"/>
  <c r="U169" i="2"/>
  <c r="V169" i="2" s="1"/>
  <c r="W169" i="2" s="1"/>
  <c r="X169" i="2" s="1"/>
  <c r="W168" i="2"/>
  <c r="X168" i="2" s="1"/>
  <c r="U168" i="2"/>
  <c r="V168" i="2" s="1"/>
  <c r="U167" i="2"/>
  <c r="V167" i="2" s="1"/>
  <c r="W167" i="2" s="1"/>
  <c r="X167" i="2" s="1"/>
  <c r="V166" i="2"/>
  <c r="W166" i="2" s="1"/>
  <c r="X166" i="2" s="1"/>
  <c r="U166" i="2"/>
  <c r="U165" i="2"/>
  <c r="V165" i="2" s="1"/>
  <c r="W165" i="2" s="1"/>
  <c r="X165" i="2" s="1"/>
  <c r="U164" i="2"/>
  <c r="V164" i="2" s="1"/>
  <c r="W164" i="2" s="1"/>
  <c r="X164" i="2" s="1"/>
  <c r="U163" i="2"/>
  <c r="V163" i="2" s="1"/>
  <c r="W163" i="2" s="1"/>
  <c r="X163" i="2" s="1"/>
  <c r="V162" i="2"/>
  <c r="W162" i="2" s="1"/>
  <c r="X162" i="2" s="1"/>
  <c r="U162" i="2"/>
  <c r="V161" i="2"/>
  <c r="W161" i="2" s="1"/>
  <c r="X161" i="2" s="1"/>
  <c r="U161" i="2"/>
  <c r="W160" i="2"/>
  <c r="X160" i="2" s="1"/>
  <c r="U160" i="2"/>
  <c r="V160" i="2" s="1"/>
  <c r="V159" i="2"/>
  <c r="W159" i="2" s="1"/>
  <c r="X159" i="2" s="1"/>
  <c r="U159" i="2"/>
  <c r="U158" i="2"/>
  <c r="V158" i="2" s="1"/>
  <c r="W158" i="2" s="1"/>
  <c r="X158" i="2" s="1"/>
  <c r="V157" i="2"/>
  <c r="W157" i="2" s="1"/>
  <c r="X157" i="2" s="1"/>
  <c r="U157" i="2"/>
  <c r="U156" i="2"/>
  <c r="V156" i="2" s="1"/>
  <c r="W156" i="2" s="1"/>
  <c r="X156" i="2" s="1"/>
  <c r="U155" i="2"/>
  <c r="V155" i="2" s="1"/>
  <c r="W155" i="2" s="1"/>
  <c r="X155" i="2" s="1"/>
  <c r="W154" i="2"/>
  <c r="X154" i="2" s="1"/>
  <c r="U154" i="2"/>
  <c r="V154" i="2" s="1"/>
  <c r="V153" i="2"/>
  <c r="W153" i="2" s="1"/>
  <c r="X153" i="2" s="1"/>
  <c r="U153" i="2"/>
  <c r="X152" i="2"/>
  <c r="U152" i="2"/>
  <c r="V152" i="2" s="1"/>
  <c r="W152" i="2" s="1"/>
  <c r="V151" i="2"/>
  <c r="W151" i="2" s="1"/>
  <c r="X151" i="2" s="1"/>
  <c r="U151" i="2"/>
  <c r="U150" i="2"/>
  <c r="V150" i="2" s="1"/>
  <c r="W150" i="2" s="1"/>
  <c r="X150" i="2" s="1"/>
  <c r="U149" i="2"/>
  <c r="V149" i="2" s="1"/>
  <c r="W149" i="2" s="1"/>
  <c r="X149" i="2" s="1"/>
  <c r="U148" i="2"/>
  <c r="V148" i="2" s="1"/>
  <c r="W148" i="2" s="1"/>
  <c r="X148" i="2" s="1"/>
  <c r="U147" i="2"/>
  <c r="V147" i="2" s="1"/>
  <c r="W147" i="2" s="1"/>
  <c r="X147" i="2" s="1"/>
  <c r="W146" i="2"/>
  <c r="X146" i="2" s="1"/>
  <c r="U146" i="2"/>
  <c r="V146" i="2" s="1"/>
  <c r="U145" i="2"/>
  <c r="V145" i="2" s="1"/>
  <c r="W145" i="2" s="1"/>
  <c r="X145" i="2" s="1"/>
  <c r="U144" i="2"/>
  <c r="V144" i="2" s="1"/>
  <c r="W144" i="2" s="1"/>
  <c r="X144" i="2" s="1"/>
  <c r="V143" i="2"/>
  <c r="W143" i="2" s="1"/>
  <c r="X143" i="2" s="1"/>
  <c r="U143" i="2"/>
  <c r="V142" i="2"/>
  <c r="W142" i="2" s="1"/>
  <c r="X142" i="2" s="1"/>
  <c r="U142" i="2"/>
  <c r="U141" i="2"/>
  <c r="V141" i="2" s="1"/>
  <c r="W141" i="2" s="1"/>
  <c r="X141" i="2" s="1"/>
  <c r="W140" i="2"/>
  <c r="X140" i="2" s="1"/>
  <c r="U140" i="2"/>
  <c r="V140" i="2" s="1"/>
  <c r="V139" i="2"/>
  <c r="W139" i="2" s="1"/>
  <c r="X139" i="2" s="1"/>
  <c r="U139" i="2"/>
  <c r="U138" i="2"/>
  <c r="V138" i="2" s="1"/>
  <c r="W138" i="2" s="1"/>
  <c r="X138" i="2" s="1"/>
  <c r="U137" i="2"/>
  <c r="V137" i="2" s="1"/>
  <c r="W137" i="2" s="1"/>
  <c r="X137" i="2" s="1"/>
  <c r="W136" i="2"/>
  <c r="X136" i="2" s="1"/>
  <c r="U136" i="2"/>
  <c r="V136" i="2" s="1"/>
  <c r="U135" i="2"/>
  <c r="V135" i="2" s="1"/>
  <c r="W135" i="2" s="1"/>
  <c r="X135" i="2" s="1"/>
  <c r="V134" i="2"/>
  <c r="W134" i="2" s="1"/>
  <c r="X134" i="2" s="1"/>
  <c r="U134" i="2"/>
  <c r="V133" i="2"/>
  <c r="W133" i="2" s="1"/>
  <c r="X133" i="2" s="1"/>
  <c r="U133" i="2"/>
  <c r="U132" i="2"/>
  <c r="V132" i="2" s="1"/>
  <c r="W132" i="2" s="1"/>
  <c r="X132" i="2" s="1"/>
  <c r="U131" i="2"/>
  <c r="V131" i="2" s="1"/>
  <c r="W131" i="2" s="1"/>
  <c r="X131" i="2" s="1"/>
  <c r="V130" i="2"/>
  <c r="W130" i="2" s="1"/>
  <c r="X130" i="2" s="1"/>
  <c r="U130" i="2"/>
  <c r="U129" i="2"/>
  <c r="V129" i="2" s="1"/>
  <c r="W129" i="2" s="1"/>
  <c r="X129" i="2" s="1"/>
  <c r="X128" i="2"/>
  <c r="W128" i="2"/>
  <c r="U128" i="2"/>
  <c r="V128" i="2" s="1"/>
  <c r="U127" i="2"/>
  <c r="V127" i="2" s="1"/>
  <c r="W127" i="2" s="1"/>
  <c r="X127" i="2" s="1"/>
  <c r="U126" i="2"/>
  <c r="V126" i="2" s="1"/>
  <c r="W126" i="2" s="1"/>
  <c r="X126" i="2" s="1"/>
  <c r="V125" i="2"/>
  <c r="W125" i="2" s="1"/>
  <c r="X125" i="2" s="1"/>
  <c r="U125" i="2"/>
  <c r="U124" i="2"/>
  <c r="V124" i="2" s="1"/>
  <c r="W124" i="2" s="1"/>
  <c r="X124" i="2" s="1"/>
  <c r="X123" i="2"/>
  <c r="U123" i="2"/>
  <c r="V123" i="2" s="1"/>
  <c r="W123" i="2" s="1"/>
  <c r="U122" i="2"/>
  <c r="V122" i="2" s="1"/>
  <c r="W122" i="2" s="1"/>
  <c r="X122" i="2" s="1"/>
  <c r="V121" i="2"/>
  <c r="W121" i="2" s="1"/>
  <c r="X121" i="2" s="1"/>
  <c r="U121" i="2"/>
  <c r="U120" i="2"/>
  <c r="V120" i="2" s="1"/>
  <c r="W120" i="2" s="1"/>
  <c r="X120" i="2" s="1"/>
  <c r="V119" i="2"/>
  <c r="W119" i="2" s="1"/>
  <c r="X119" i="2" s="1"/>
  <c r="U119" i="2"/>
  <c r="U118" i="2"/>
  <c r="V118" i="2" s="1"/>
  <c r="W118" i="2" s="1"/>
  <c r="X118" i="2" s="1"/>
  <c r="U117" i="2"/>
  <c r="V117" i="2" s="1"/>
  <c r="W117" i="2" s="1"/>
  <c r="X117" i="2" s="1"/>
  <c r="U116" i="2"/>
  <c r="V116" i="2" s="1"/>
  <c r="W116" i="2" s="1"/>
  <c r="X116" i="2" s="1"/>
  <c r="V115" i="2"/>
  <c r="W115" i="2" s="1"/>
  <c r="X115" i="2" s="1"/>
  <c r="U115" i="2"/>
  <c r="W114" i="2"/>
  <c r="X114" i="2" s="1"/>
  <c r="U114" i="2"/>
  <c r="V114" i="2" s="1"/>
  <c r="U113" i="2"/>
  <c r="V113" i="2" s="1"/>
  <c r="W113" i="2" s="1"/>
  <c r="X113" i="2" s="1"/>
  <c r="U112" i="2"/>
  <c r="V112" i="2" s="1"/>
  <c r="W112" i="2" s="1"/>
  <c r="X112" i="2" s="1"/>
  <c r="V111" i="2"/>
  <c r="W111" i="2" s="1"/>
  <c r="X111" i="2" s="1"/>
  <c r="U111" i="2"/>
  <c r="V110" i="2"/>
  <c r="W110" i="2" s="1"/>
  <c r="X110" i="2" s="1"/>
  <c r="U110" i="2"/>
  <c r="U109" i="2"/>
  <c r="V109" i="2" s="1"/>
  <c r="W109" i="2" s="1"/>
  <c r="X109" i="2" s="1"/>
  <c r="W108" i="2"/>
  <c r="X108" i="2" s="1"/>
  <c r="U108" i="2"/>
  <c r="V108" i="2" s="1"/>
  <c r="V107" i="2"/>
  <c r="W107" i="2" s="1"/>
  <c r="X107" i="2" s="1"/>
  <c r="U107" i="2"/>
  <c r="U106" i="2"/>
  <c r="V106" i="2" s="1"/>
  <c r="W106" i="2" s="1"/>
  <c r="X106" i="2" s="1"/>
  <c r="U105" i="2"/>
  <c r="V105" i="2" s="1"/>
  <c r="W105" i="2" s="1"/>
  <c r="X105" i="2" s="1"/>
  <c r="W104" i="2"/>
  <c r="X104" i="2" s="1"/>
  <c r="U104" i="2"/>
  <c r="V104" i="2" s="1"/>
  <c r="U103" i="2"/>
  <c r="V103" i="2" s="1"/>
  <c r="W103" i="2" s="1"/>
  <c r="X103" i="2" s="1"/>
  <c r="V102" i="2"/>
  <c r="W102" i="2" s="1"/>
  <c r="X102" i="2" s="1"/>
  <c r="U102" i="2"/>
  <c r="U101" i="2"/>
  <c r="V101" i="2" s="1"/>
  <c r="W101" i="2" s="1"/>
  <c r="X101" i="2" s="1"/>
  <c r="U100" i="2"/>
  <c r="V100" i="2" s="1"/>
  <c r="W100" i="2" s="1"/>
  <c r="X100" i="2" s="1"/>
  <c r="U99" i="2"/>
  <c r="V99" i="2" s="1"/>
  <c r="W99" i="2" s="1"/>
  <c r="X99" i="2" s="1"/>
  <c r="V98" i="2"/>
  <c r="W98" i="2" s="1"/>
  <c r="X98" i="2" s="1"/>
  <c r="U98" i="2"/>
  <c r="V97" i="2"/>
  <c r="W97" i="2" s="1"/>
  <c r="X97" i="2" s="1"/>
  <c r="U97" i="2"/>
  <c r="W96" i="2"/>
  <c r="X96" i="2" s="1"/>
  <c r="U96" i="2"/>
  <c r="V96" i="2" s="1"/>
  <c r="U95" i="2"/>
  <c r="V95" i="2" s="1"/>
  <c r="W95" i="2" s="1"/>
  <c r="X95" i="2" s="1"/>
  <c r="U94" i="2"/>
  <c r="V94" i="2" s="1"/>
  <c r="W94" i="2" s="1"/>
  <c r="X94" i="2" s="1"/>
  <c r="U93" i="2"/>
  <c r="V93" i="2" s="1"/>
  <c r="W93" i="2" s="1"/>
  <c r="X93" i="2" s="1"/>
  <c r="U92" i="2"/>
  <c r="V92" i="2" s="1"/>
  <c r="W92" i="2" s="1"/>
  <c r="X92" i="2" s="1"/>
  <c r="U91" i="2"/>
  <c r="V91" i="2" s="1"/>
  <c r="W91" i="2" s="1"/>
  <c r="X91" i="2" s="1"/>
  <c r="W90" i="2"/>
  <c r="X90" i="2" s="1"/>
  <c r="U90" i="2"/>
  <c r="V90" i="2" s="1"/>
  <c r="V89" i="2"/>
  <c r="W89" i="2" s="1"/>
  <c r="X89" i="2" s="1"/>
  <c r="U89" i="2"/>
  <c r="U88" i="2"/>
  <c r="V88" i="2" s="1"/>
  <c r="W88" i="2" s="1"/>
  <c r="X88" i="2" s="1"/>
  <c r="U87" i="2"/>
  <c r="V87" i="2" s="1"/>
  <c r="W87" i="2" s="1"/>
  <c r="X87" i="2" s="1"/>
  <c r="U86" i="2"/>
  <c r="V86" i="2" s="1"/>
  <c r="W86" i="2" s="1"/>
  <c r="X86" i="2" s="1"/>
  <c r="U85" i="2"/>
  <c r="V85" i="2" s="1"/>
  <c r="W85" i="2" s="1"/>
  <c r="X85" i="2" s="1"/>
  <c r="U84" i="2"/>
  <c r="V84" i="2" s="1"/>
  <c r="W84" i="2" s="1"/>
  <c r="X84" i="2" s="1"/>
  <c r="U83" i="2"/>
  <c r="V83" i="2" s="1"/>
  <c r="W83" i="2" s="1"/>
  <c r="X83" i="2" s="1"/>
  <c r="U82" i="2"/>
  <c r="V82" i="2" s="1"/>
  <c r="W82" i="2" s="1"/>
  <c r="X82" i="2" s="1"/>
  <c r="U81" i="2"/>
  <c r="V81" i="2" s="1"/>
  <c r="W81" i="2" s="1"/>
  <c r="X81" i="2" s="1"/>
  <c r="U80" i="2"/>
  <c r="V80" i="2" s="1"/>
  <c r="W80" i="2" s="1"/>
  <c r="X80" i="2" s="1"/>
  <c r="U79" i="2"/>
  <c r="V79" i="2" s="1"/>
  <c r="W79" i="2" s="1"/>
  <c r="X79" i="2" s="1"/>
  <c r="V78" i="2"/>
  <c r="W78" i="2" s="1"/>
  <c r="X78" i="2" s="1"/>
  <c r="U78" i="2"/>
  <c r="U77" i="2"/>
  <c r="V77" i="2" s="1"/>
  <c r="W77" i="2" s="1"/>
  <c r="X77" i="2" s="1"/>
  <c r="W76" i="2"/>
  <c r="X76" i="2" s="1"/>
  <c r="U76" i="2"/>
  <c r="V76" i="2" s="1"/>
  <c r="V75" i="2"/>
  <c r="W75" i="2" s="1"/>
  <c r="X75" i="2" s="1"/>
  <c r="U75" i="2"/>
  <c r="V74" i="2"/>
  <c r="W74" i="2" s="1"/>
  <c r="X74" i="2" s="1"/>
  <c r="U74" i="2"/>
  <c r="U73" i="2"/>
  <c r="V73" i="2" s="1"/>
  <c r="W73" i="2" s="1"/>
  <c r="X73" i="2" s="1"/>
  <c r="W72" i="2"/>
  <c r="X72" i="2" s="1"/>
  <c r="U72" i="2"/>
  <c r="V72" i="2" s="1"/>
  <c r="U71" i="2"/>
  <c r="V71" i="2" s="1"/>
  <c r="W71" i="2" s="1"/>
  <c r="X71" i="2" s="1"/>
  <c r="U70" i="2"/>
  <c r="V70" i="2" s="1"/>
  <c r="W70" i="2" s="1"/>
  <c r="X70" i="2" s="1"/>
  <c r="V69" i="2"/>
  <c r="W69" i="2" s="1"/>
  <c r="X69" i="2" s="1"/>
  <c r="U69" i="2"/>
  <c r="U68" i="2"/>
  <c r="V68" i="2" s="1"/>
  <c r="W68" i="2" s="1"/>
  <c r="X68" i="2" s="1"/>
  <c r="X67" i="2"/>
  <c r="U67" i="2"/>
  <c r="V67" i="2" s="1"/>
  <c r="W67" i="2" s="1"/>
  <c r="V66" i="2"/>
  <c r="W66" i="2" s="1"/>
  <c r="X66" i="2" s="1"/>
  <c r="U66" i="2"/>
  <c r="V65" i="2"/>
  <c r="W65" i="2" s="1"/>
  <c r="X65" i="2" s="1"/>
  <c r="U65" i="2"/>
  <c r="W64" i="2"/>
  <c r="X64" i="2" s="1"/>
  <c r="U64" i="2"/>
  <c r="V64" i="2" s="1"/>
  <c r="W63" i="2"/>
  <c r="X63" i="2" s="1"/>
  <c r="V63" i="2"/>
  <c r="U63" i="2"/>
  <c r="U62" i="2"/>
  <c r="V62" i="2" s="1"/>
  <c r="W62" i="2" s="1"/>
  <c r="X62" i="2" s="1"/>
  <c r="V61" i="2"/>
  <c r="W61" i="2" s="1"/>
  <c r="X61" i="2" s="1"/>
  <c r="U61" i="2"/>
  <c r="U60" i="2"/>
  <c r="V60" i="2" s="1"/>
  <c r="W60" i="2" s="1"/>
  <c r="X60" i="2" s="1"/>
  <c r="U59" i="2"/>
  <c r="V59" i="2" s="1"/>
  <c r="W59" i="2" s="1"/>
  <c r="X59" i="2" s="1"/>
  <c r="U58" i="2"/>
  <c r="V58" i="2" s="1"/>
  <c r="W58" i="2" s="1"/>
  <c r="X58" i="2" s="1"/>
  <c r="U57" i="2"/>
  <c r="V57" i="2" s="1"/>
  <c r="W57" i="2" s="1"/>
  <c r="X57" i="2" s="1"/>
  <c r="X56" i="2"/>
  <c r="W56" i="2"/>
  <c r="U56" i="2"/>
  <c r="V56" i="2" s="1"/>
  <c r="X55" i="2"/>
  <c r="U55" i="2"/>
  <c r="V55" i="2" s="1"/>
  <c r="W55" i="2" s="1"/>
  <c r="V54" i="2"/>
  <c r="W54" i="2" s="1"/>
  <c r="X54" i="2" s="1"/>
  <c r="U54" i="2"/>
  <c r="U53" i="2"/>
  <c r="V53" i="2" s="1"/>
  <c r="W53" i="2" s="1"/>
  <c r="X53" i="2" s="1"/>
  <c r="U52" i="2"/>
  <c r="V52" i="2" s="1"/>
  <c r="W52" i="2" s="1"/>
  <c r="X52" i="2" s="1"/>
  <c r="U51" i="2"/>
  <c r="V51" i="2" s="1"/>
  <c r="W51" i="2" s="1"/>
  <c r="X51" i="2" s="1"/>
  <c r="V50" i="2"/>
  <c r="W50" i="2" s="1"/>
  <c r="X50" i="2" s="1"/>
  <c r="U50" i="2"/>
  <c r="U49" i="2"/>
  <c r="V49" i="2" s="1"/>
  <c r="W49" i="2" s="1"/>
  <c r="X49" i="2" s="1"/>
  <c r="U48" i="2"/>
  <c r="V48" i="2" s="1"/>
  <c r="W48" i="2" s="1"/>
  <c r="X48" i="2" s="1"/>
  <c r="U47" i="2"/>
  <c r="V47" i="2" s="1"/>
  <c r="W47" i="2" s="1"/>
  <c r="X47" i="2" s="1"/>
  <c r="V46" i="2"/>
  <c r="W46" i="2" s="1"/>
  <c r="X46" i="2" s="1"/>
  <c r="U46" i="2"/>
  <c r="U45" i="2"/>
  <c r="V45" i="2" s="1"/>
  <c r="W45" i="2" s="1"/>
  <c r="X45" i="2" s="1"/>
  <c r="U44" i="2"/>
  <c r="V44" i="2" s="1"/>
  <c r="W44" i="2" s="1"/>
  <c r="X44" i="2" s="1"/>
  <c r="X43" i="2"/>
  <c r="U43" i="2"/>
  <c r="V43" i="2" s="1"/>
  <c r="W43" i="2" s="1"/>
  <c r="X42" i="2"/>
  <c r="V42" i="2"/>
  <c r="W42" i="2" s="1"/>
  <c r="U42" i="2"/>
  <c r="U41" i="2"/>
  <c r="V41" i="2" s="1"/>
  <c r="W41" i="2" s="1"/>
  <c r="X41" i="2" s="1"/>
  <c r="U40" i="2"/>
  <c r="V40" i="2" s="1"/>
  <c r="W40" i="2" s="1"/>
  <c r="X40" i="2" s="1"/>
  <c r="U39" i="2"/>
  <c r="V39" i="2" s="1"/>
  <c r="W39" i="2" s="1"/>
  <c r="X39" i="2" s="1"/>
  <c r="V38" i="2"/>
  <c r="W38" i="2" s="1"/>
  <c r="X38" i="2" s="1"/>
  <c r="U38" i="2"/>
  <c r="U37" i="2"/>
  <c r="V37" i="2" s="1"/>
  <c r="W37" i="2" s="1"/>
  <c r="X37" i="2" s="1"/>
  <c r="V36" i="2"/>
  <c r="W36" i="2" s="1"/>
  <c r="X36" i="2" s="1"/>
  <c r="U36" i="2"/>
  <c r="U35" i="2"/>
  <c r="V35" i="2" s="1"/>
  <c r="W35" i="2" s="1"/>
  <c r="X35" i="2" s="1"/>
  <c r="V34" i="2"/>
  <c r="W34" i="2" s="1"/>
  <c r="X34" i="2" s="1"/>
  <c r="U34" i="2"/>
  <c r="U33" i="2"/>
  <c r="V33" i="2" s="1"/>
  <c r="W33" i="2" s="1"/>
  <c r="X33" i="2" s="1"/>
  <c r="U32" i="2"/>
  <c r="V32" i="2" s="1"/>
  <c r="W32" i="2" s="1"/>
  <c r="X32" i="2" s="1"/>
  <c r="U31" i="2"/>
  <c r="V31" i="2" s="1"/>
  <c r="W31" i="2" s="1"/>
  <c r="X31" i="2" s="1"/>
  <c r="X30" i="2"/>
  <c r="V30" i="2"/>
  <c r="W30" i="2" s="1"/>
  <c r="U30" i="2"/>
  <c r="U29" i="2"/>
  <c r="V29" i="2" s="1"/>
  <c r="W29" i="2" s="1"/>
  <c r="X29" i="2" s="1"/>
  <c r="U28" i="2"/>
  <c r="V28" i="2" s="1"/>
  <c r="W28" i="2" s="1"/>
  <c r="X28" i="2" s="1"/>
  <c r="U27" i="2"/>
  <c r="V27" i="2" s="1"/>
  <c r="W27" i="2" s="1"/>
  <c r="X27" i="2" s="1"/>
  <c r="V26" i="2"/>
  <c r="W26" i="2" s="1"/>
  <c r="X26" i="2" s="1"/>
  <c r="U26" i="2"/>
  <c r="U25" i="2"/>
  <c r="V25" i="2" s="1"/>
  <c r="W25" i="2" s="1"/>
  <c r="X25" i="2" s="1"/>
  <c r="W24" i="2"/>
  <c r="X24" i="2" s="1"/>
  <c r="V24" i="2"/>
  <c r="U24" i="2"/>
  <c r="X23" i="2"/>
  <c r="U23" i="2"/>
  <c r="V23" i="2" s="1"/>
  <c r="W23" i="2" s="1"/>
  <c r="V22" i="2"/>
  <c r="W22" i="2" s="1"/>
  <c r="X22" i="2" s="1"/>
  <c r="U22" i="2"/>
  <c r="U21" i="2"/>
  <c r="V21" i="2" s="1"/>
  <c r="W21" i="2" s="1"/>
  <c r="X21" i="2" s="1"/>
  <c r="U20" i="2"/>
  <c r="V20" i="2" s="1"/>
  <c r="W20" i="2" s="1"/>
  <c r="X20" i="2" s="1"/>
  <c r="U19" i="2"/>
  <c r="V19" i="2" s="1"/>
  <c r="W19" i="2" s="1"/>
  <c r="X19" i="2" s="1"/>
  <c r="V18" i="2"/>
  <c r="W18" i="2" s="1"/>
  <c r="X18" i="2" s="1"/>
  <c r="U18" i="2"/>
  <c r="U17" i="2"/>
  <c r="V17" i="2" s="1"/>
  <c r="W17" i="2" s="1"/>
  <c r="X17" i="2" s="1"/>
  <c r="U16" i="2"/>
  <c r="V16" i="2" s="1"/>
  <c r="W16" i="2" s="1"/>
  <c r="X16" i="2" s="1"/>
  <c r="U15" i="2"/>
  <c r="V15" i="2" s="1"/>
  <c r="W15" i="2" s="1"/>
  <c r="X15" i="2" s="1"/>
  <c r="V14" i="2"/>
  <c r="W14" i="2" s="1"/>
  <c r="X14" i="2" s="1"/>
  <c r="U14" i="2"/>
  <c r="U13" i="2"/>
  <c r="V13" i="2" s="1"/>
  <c r="W13" i="2" s="1"/>
  <c r="X13" i="2" s="1"/>
  <c r="U12" i="2"/>
  <c r="V12" i="2" s="1"/>
  <c r="W12" i="2" s="1"/>
  <c r="X12" i="2" s="1"/>
  <c r="X11" i="2"/>
  <c r="U11" i="2"/>
  <c r="V11" i="2" s="1"/>
  <c r="W11" i="2" s="1"/>
  <c r="X10" i="2"/>
  <c r="V10" i="2"/>
  <c r="W10" i="2" s="1"/>
  <c r="U10" i="2"/>
  <c r="U9" i="2"/>
  <c r="V9" i="2" s="1"/>
  <c r="W9" i="2" s="1"/>
  <c r="X9" i="2" s="1"/>
  <c r="U8" i="2"/>
  <c r="V8" i="2" s="1"/>
  <c r="W8" i="2" s="1"/>
  <c r="X8" i="2" s="1"/>
  <c r="U7" i="2"/>
  <c r="V7" i="2" s="1"/>
  <c r="W7" i="2" s="1"/>
  <c r="X7" i="2" s="1"/>
  <c r="V6" i="2"/>
  <c r="W6" i="2" s="1"/>
  <c r="X6" i="2" s="1"/>
  <c r="U6" i="2"/>
  <c r="U5" i="2"/>
  <c r="V5" i="2" s="1"/>
  <c r="W5" i="2" s="1"/>
  <c r="X5" i="2" s="1"/>
  <c r="V4" i="2"/>
  <c r="W4" i="2" s="1"/>
  <c r="X4" i="2" s="1"/>
  <c r="U4" i="2"/>
  <c r="U3" i="2"/>
  <c r="V3" i="2" s="1"/>
  <c r="W3" i="2" s="1"/>
  <c r="X3" i="2" s="1"/>
  <c r="V2" i="2"/>
  <c r="W2" i="2" s="1"/>
  <c r="X2" i="2" s="1"/>
  <c r="U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Karla</author>
  </authors>
  <commentList>
    <comment ref="N1" authorId="0" shapeId="0" xr:uid="{F0B73B5B-95BE-4389-AC2A-1EC68ED034A2}">
      <text>
        <r>
          <rPr>
            <b/>
            <sz val="9"/>
            <color indexed="81"/>
            <rFont val="Tahoma"/>
            <family val="2"/>
          </rPr>
          <t>Karla:</t>
        </r>
        <r>
          <rPr>
            <sz val="9"/>
            <color indexed="81"/>
            <rFont val="Tahoma"/>
            <family val="2"/>
          </rPr>
          <t xml:space="preserve">
valor de la factura menos la detraccion si tuviera servicio
</t>
        </r>
      </text>
    </comment>
  </commentList>
</comments>
</file>

<file path=xl/sharedStrings.xml><?xml version="1.0" encoding="utf-8"?>
<sst xmlns="http://schemas.openxmlformats.org/spreadsheetml/2006/main" count="3283" uniqueCount="476">
  <si>
    <t>Tipo de Orden</t>
  </si>
  <si>
    <t>Número
OC
 OS</t>
  </si>
  <si>
    <t>Cantidad
Envases
 a Entregar</t>
  </si>
  <si>
    <t>Peso Bidones - Galoneras</t>
  </si>
  <si>
    <t>Producto Solicitado</t>
  </si>
  <si>
    <t>Fecha Limite de entrega Producto Servicio</t>
  </si>
  <si>
    <t xml:space="preserve">Fecha de Entrega
 SQ 
 </t>
  </si>
  <si>
    <t>Fecha
Factura</t>
  </si>
  <si>
    <t xml:space="preserve">Guía
</t>
  </si>
  <si>
    <t>Factura</t>
  </si>
  <si>
    <t xml:space="preserve">Forma 
de
Pago
</t>
  </si>
  <si>
    <t>Dias de Atraso</t>
  </si>
  <si>
    <t xml:space="preserve">Moneda </t>
  </si>
  <si>
    <t>Dcto</t>
  </si>
  <si>
    <t>Precio 
por
Unidad 
Litro
Kg.</t>
  </si>
  <si>
    <t xml:space="preserve">Precio
Envase
X Bidon -Galonera
</t>
  </si>
  <si>
    <t>Precio
 Total</t>
  </si>
  <si>
    <t>Valor
 Venta
Sub- Total</t>
  </si>
  <si>
    <t>I.G.V.
 18%</t>
  </si>
  <si>
    <t>Valor
 Total</t>
  </si>
  <si>
    <t>Observación</t>
  </si>
  <si>
    <t>OC</t>
  </si>
  <si>
    <t>VERBAL</t>
  </si>
  <si>
    <t>CAJ</t>
  </si>
  <si>
    <t>UND</t>
  </si>
  <si>
    <t>MASCARILLA PLANA BLANCA R&amp;G CAJA X 50 UNIDADES</t>
  </si>
  <si>
    <t>B-47</t>
  </si>
  <si>
    <t>S/.</t>
  </si>
  <si>
    <t>L</t>
  </si>
  <si>
    <t>DESENGRASANTE PARA COCINA</t>
  </si>
  <si>
    <t>B-49</t>
  </si>
  <si>
    <t>LAVAVAJILLAS</t>
  </si>
  <si>
    <t>PZA</t>
  </si>
  <si>
    <t>JARRA FILTRANTE DE AGUA ALCALINA WATERLIFE 3.5 L</t>
  </si>
  <si>
    <t>B-50</t>
  </si>
  <si>
    <t>TWIN</t>
  </si>
  <si>
    <t>B-51</t>
  </si>
  <si>
    <t>B-53</t>
  </si>
  <si>
    <t>JABON MARINER</t>
  </si>
  <si>
    <t>B-55</t>
  </si>
  <si>
    <t>LIMPIADOR MANZANA</t>
  </si>
  <si>
    <t>DETERGENTE NEUTRO</t>
  </si>
  <si>
    <t>ALCOHOL ISOPROPILICO 99%</t>
  </si>
  <si>
    <t>B-56</t>
  </si>
  <si>
    <t>B-57</t>
  </si>
  <si>
    <t>ALCOHOL ISOPROPILICO 70%</t>
  </si>
  <si>
    <t>B-59</t>
  </si>
  <si>
    <t>CJ</t>
  </si>
  <si>
    <t>BIOCIDIN NP50</t>
  </si>
  <si>
    <t>BIOCIDIN SP</t>
  </si>
  <si>
    <t>BIOCIDIN SP - DILUIDO</t>
  </si>
  <si>
    <t>LIMPIADOR BABY</t>
  </si>
  <si>
    <t>LIMPIADOR MARINER</t>
  </si>
  <si>
    <t>B-60</t>
  </si>
  <si>
    <t>SOFTER</t>
  </si>
  <si>
    <t>B-61</t>
  </si>
  <si>
    <t>B-62</t>
  </si>
  <si>
    <t>LIMPIADOR FLORAL</t>
  </si>
  <si>
    <t>B-63</t>
  </si>
  <si>
    <t>F001-43</t>
  </si>
  <si>
    <t xml:space="preserve">LIMPIADOR AROMA MARINER </t>
  </si>
  <si>
    <t>B-64</t>
  </si>
  <si>
    <t>B-65</t>
  </si>
  <si>
    <t>SER</t>
  </si>
  <si>
    <t>DELIVERY</t>
  </si>
  <si>
    <t>BX</t>
  </si>
  <si>
    <t xml:space="preserve">MASCARILLA PLANA BLANCA R&amp;G </t>
  </si>
  <si>
    <t>B-66</t>
  </si>
  <si>
    <t>LIMPIADOR AROMA FLORAL</t>
  </si>
  <si>
    <t>B-67</t>
  </si>
  <si>
    <t>LIMPIADOR AROMA MANZANA</t>
  </si>
  <si>
    <t>BIOCIDIN SP AL 0.1%</t>
  </si>
  <si>
    <t>LENTES DE SEGURIDAD COLOR CLEAR</t>
  </si>
  <si>
    <t>SOFTER CON AROMA</t>
  </si>
  <si>
    <t>PAÑOS DE LIMPIEZA MULTIUSOS ELITE MAXIWIPE X 88 PAÑOS</t>
  </si>
  <si>
    <t>MASCARILA PANA BLANCA R&amp;G CAJA X 50 UND</t>
  </si>
  <si>
    <t>B-68</t>
  </si>
  <si>
    <t>B-69</t>
  </si>
  <si>
    <t>B-70</t>
  </si>
  <si>
    <t>B-71</t>
  </si>
  <si>
    <t>DETERGENTE OXIPOWER</t>
  </si>
  <si>
    <t>B-72</t>
  </si>
  <si>
    <t>SACAGRASA</t>
  </si>
  <si>
    <t>B-73</t>
  </si>
  <si>
    <t>B-74</t>
  </si>
  <si>
    <t xml:space="preserve">LEJIA HIPOCLORITO DE SODI 7.8% </t>
  </si>
  <si>
    <t>B-75</t>
  </si>
  <si>
    <t>B-76</t>
  </si>
  <si>
    <t>ALCOHOL GEL 70</t>
  </si>
  <si>
    <t>B-77</t>
  </si>
  <si>
    <t>B-78</t>
  </si>
  <si>
    <t>B-79</t>
  </si>
  <si>
    <t>DETERGENTE PLUS</t>
  </si>
  <si>
    <t>B-80</t>
  </si>
  <si>
    <t>PROTECTOR SOLAR</t>
  </si>
  <si>
    <t>B-81</t>
  </si>
  <si>
    <t>B-82</t>
  </si>
  <si>
    <t>B-84</t>
  </si>
  <si>
    <t>JABON FLORAL</t>
  </si>
  <si>
    <t>DETERGENTE CLORADO</t>
  </si>
  <si>
    <t>B-85</t>
  </si>
  <si>
    <t>B-86</t>
  </si>
  <si>
    <t>B-87</t>
  </si>
  <si>
    <t>LAV. NEUTRO</t>
  </si>
  <si>
    <t>B-88</t>
  </si>
  <si>
    <t>B-89</t>
  </si>
  <si>
    <t>LIMPIA VIDERIOS</t>
  </si>
  <si>
    <t>B-90</t>
  </si>
  <si>
    <t>PQ</t>
  </si>
  <si>
    <t>B-91</t>
  </si>
  <si>
    <t>B-92</t>
  </si>
  <si>
    <t>B-93</t>
  </si>
  <si>
    <t>B-94</t>
  </si>
  <si>
    <t>ALCOHOL 70º</t>
  </si>
  <si>
    <t>XTREM</t>
  </si>
  <si>
    <t>B-95</t>
  </si>
  <si>
    <t>B-96</t>
  </si>
  <si>
    <t>DESCARLEX AF</t>
  </si>
  <si>
    <t>B-97</t>
  </si>
  <si>
    <t>B-98</t>
  </si>
  <si>
    <t>B-99</t>
  </si>
  <si>
    <t>B-100</t>
  </si>
  <si>
    <t>B-101</t>
  </si>
  <si>
    <t>B-102</t>
  </si>
  <si>
    <t>TRAJE DESCARTABLE TSG15- TALLA XL</t>
  </si>
  <si>
    <t>B-103</t>
  </si>
  <si>
    <t>B-104</t>
  </si>
  <si>
    <t>LIMPIA VIDRIOS</t>
  </si>
  <si>
    <t>B-105</t>
  </si>
  <si>
    <t>B-106</t>
  </si>
  <si>
    <t>BOTELLA DISPENSADORA CAP. 1000 ML</t>
  </si>
  <si>
    <t>MASCARILLA PLANA INFANTIL</t>
  </si>
  <si>
    <t>B-107</t>
  </si>
  <si>
    <t>B-109</t>
  </si>
  <si>
    <t>B-110</t>
  </si>
  <si>
    <t>B-111</t>
  </si>
  <si>
    <t>B-112</t>
  </si>
  <si>
    <t>BIOCIDIN SP X 4 L</t>
  </si>
  <si>
    <t>B-113</t>
  </si>
  <si>
    <t>B-114</t>
  </si>
  <si>
    <t>B-115</t>
  </si>
  <si>
    <t>B-116</t>
  </si>
  <si>
    <t>LAVAVAJILLAS NEUTRO</t>
  </si>
  <si>
    <t>B-117</t>
  </si>
  <si>
    <t>B-118</t>
  </si>
  <si>
    <t>B-119</t>
  </si>
  <si>
    <t>B-120</t>
  </si>
  <si>
    <t>B-121</t>
  </si>
  <si>
    <t>B-122</t>
  </si>
  <si>
    <t>B-123</t>
  </si>
  <si>
    <t>B-124</t>
  </si>
  <si>
    <t>B-126</t>
  </si>
  <si>
    <t>PAPEL TOALLA ELITE CLASICA MEGAROLLO X 20 MTS</t>
  </si>
  <si>
    <t>B-127</t>
  </si>
  <si>
    <t>B-128</t>
  </si>
  <si>
    <t>B-129</t>
  </si>
  <si>
    <t>B-130</t>
  </si>
  <si>
    <t>B-131</t>
  </si>
  <si>
    <t>B-132</t>
  </si>
  <si>
    <t>B-133</t>
  </si>
  <si>
    <t>B-134</t>
  </si>
  <si>
    <t>B-135</t>
  </si>
  <si>
    <t>B-136</t>
  </si>
  <si>
    <t>B-137</t>
  </si>
  <si>
    <t>B-138</t>
  </si>
  <si>
    <t>B-139</t>
  </si>
  <si>
    <t>B-140</t>
  </si>
  <si>
    <t>EQUIPO DE OSMOSIS INVERSA</t>
  </si>
  <si>
    <t>B-141</t>
  </si>
  <si>
    <t>B-142</t>
  </si>
  <si>
    <t>JABON LIQUIDO FLORAL</t>
  </si>
  <si>
    <t>B-143</t>
  </si>
  <si>
    <t>B-144</t>
  </si>
  <si>
    <t>B-145</t>
  </si>
  <si>
    <t>B-146</t>
  </si>
  <si>
    <t>B-147</t>
  </si>
  <si>
    <t>B-148</t>
  </si>
  <si>
    <t>B-149</t>
  </si>
  <si>
    <t>B-151</t>
  </si>
  <si>
    <t>B-152</t>
  </si>
  <si>
    <t>B-153</t>
  </si>
  <si>
    <t>B-154</t>
  </si>
  <si>
    <t>B-155</t>
  </si>
  <si>
    <t>JABON LIQUIDO MARINER</t>
  </si>
  <si>
    <t>B-156</t>
  </si>
  <si>
    <t>B-157</t>
  </si>
  <si>
    <t>B-158</t>
  </si>
  <si>
    <t>B-161</t>
  </si>
  <si>
    <t>B-162</t>
  </si>
  <si>
    <t>B-163</t>
  </si>
  <si>
    <t>TOCA RIPO TIRA BLANCA R&amp;G 10 GR CAJA X 100 UND</t>
  </si>
  <si>
    <t>PAPEL TOALLA BLANCA PLUS PROPAPER JUMBO X 200 METROS</t>
  </si>
  <si>
    <t>B-164</t>
  </si>
  <si>
    <t>B-165</t>
  </si>
  <si>
    <t>B-166</t>
  </si>
  <si>
    <t>B-167</t>
  </si>
  <si>
    <t>FILTRO CARBON ACTIVADO 10" 5 MIC</t>
  </si>
  <si>
    <t>B-168</t>
  </si>
  <si>
    <t>FILTRO CARTUCHO SEDIMENTOS 2.5" X 10" 5 MIC</t>
  </si>
  <si>
    <t>FILTRO CARTUCHO SEDIMENTOS 2.5" X 10" 1 MIC</t>
  </si>
  <si>
    <t>B-169</t>
  </si>
  <si>
    <t>LIMPIAVIDRIOS</t>
  </si>
  <si>
    <t>B-170</t>
  </si>
  <si>
    <t>B-171</t>
  </si>
  <si>
    <t>B-172</t>
  </si>
  <si>
    <t>B-173</t>
  </si>
  <si>
    <t>B-174</t>
  </si>
  <si>
    <t>B-175</t>
  </si>
  <si>
    <t>B-176</t>
  </si>
  <si>
    <t>B-177</t>
  </si>
  <si>
    <t>B-178</t>
  </si>
  <si>
    <t>B-179</t>
  </si>
  <si>
    <t>B-180</t>
  </si>
  <si>
    <t>B-181</t>
  </si>
  <si>
    <t>B-182</t>
  </si>
  <si>
    <t>B-183</t>
  </si>
  <si>
    <t>B-184</t>
  </si>
  <si>
    <t>B-185</t>
  </si>
  <si>
    <t>B-187</t>
  </si>
  <si>
    <t>B-188</t>
  </si>
  <si>
    <t>B-189</t>
  </si>
  <si>
    <t>B-190</t>
  </si>
  <si>
    <t>B-191</t>
  </si>
  <si>
    <t>AGUA PURIFICADA TIPO II</t>
  </si>
  <si>
    <t>B-192</t>
  </si>
  <si>
    <t>B-193</t>
  </si>
  <si>
    <t>B-195</t>
  </si>
  <si>
    <t>B-196</t>
  </si>
  <si>
    <t>B-197</t>
  </si>
  <si>
    <t>B-198</t>
  </si>
  <si>
    <t>B-199</t>
  </si>
  <si>
    <t xml:space="preserve">GATILLO SPRAY </t>
  </si>
  <si>
    <t>B-201</t>
  </si>
  <si>
    <t>B-202</t>
  </si>
  <si>
    <t>B-203</t>
  </si>
  <si>
    <t>B-205</t>
  </si>
  <si>
    <t>B-206</t>
  </si>
  <si>
    <t>B-207</t>
  </si>
  <si>
    <t>LEJIA_HIPOCLORITO DE SODIO 5%</t>
  </si>
  <si>
    <t>B-208</t>
  </si>
  <si>
    <t>B-209</t>
  </si>
  <si>
    <t xml:space="preserve">LAVAVAJILLAS  </t>
  </si>
  <si>
    <t>B-210</t>
  </si>
  <si>
    <t>B-211</t>
  </si>
  <si>
    <t>B-212</t>
  </si>
  <si>
    <t>B-214</t>
  </si>
  <si>
    <t>B-215</t>
  </si>
  <si>
    <t>B-216</t>
  </si>
  <si>
    <t>B-217</t>
  </si>
  <si>
    <t>B-218</t>
  </si>
  <si>
    <t>B-219</t>
  </si>
  <si>
    <t>B-220</t>
  </si>
  <si>
    <t>B-221</t>
  </si>
  <si>
    <t>B-222</t>
  </si>
  <si>
    <t>B-223</t>
  </si>
  <si>
    <t xml:space="preserve">LEJIA HIPOCLORITO DE SODIO 5% </t>
  </si>
  <si>
    <t>B-224</t>
  </si>
  <si>
    <t>B-225</t>
  </si>
  <si>
    <t>B-226</t>
  </si>
  <si>
    <t>B-229</t>
  </si>
  <si>
    <t>B-230</t>
  </si>
  <si>
    <t>JABON LIQUIDO NEUTRO</t>
  </si>
  <si>
    <t>B-231</t>
  </si>
  <si>
    <t>B-232</t>
  </si>
  <si>
    <t>B-233</t>
  </si>
  <si>
    <t>B-234</t>
  </si>
  <si>
    <t>B-235</t>
  </si>
  <si>
    <t>B-236</t>
  </si>
  <si>
    <t>B-237</t>
  </si>
  <si>
    <t>B-238</t>
  </si>
  <si>
    <t>B-239</t>
  </si>
  <si>
    <t>B-240</t>
  </si>
  <si>
    <t>B-241</t>
  </si>
  <si>
    <t>B-242</t>
  </si>
  <si>
    <t>B-243</t>
  </si>
  <si>
    <t xml:space="preserve">Fecha
 Correo 
Y/O Solicitud </t>
  </si>
  <si>
    <t>Cliente</t>
  </si>
  <si>
    <t>ROSA AMELIA ALVARADO CUARITE</t>
  </si>
  <si>
    <t>KARLA AMPARO CARRERA VALDIVIA</t>
  </si>
  <si>
    <t>SILVANA FARIDE OJEDA</t>
  </si>
  <si>
    <t>ALBERT SANTOS ALVARO CHILO</t>
  </si>
  <si>
    <t>MARIA DEL ROSARIO RODRIGUEZ VARGAS</t>
  </si>
  <si>
    <t>AMERICA GAMERO GUTIERREZ</t>
  </si>
  <si>
    <t>LUIS ENRIQUE LOAYZA MUÑIZ</t>
  </si>
  <si>
    <t>GONZALO JAVIER RIOS MARQUEZ</t>
  </si>
  <si>
    <t>NICOMEDES ALBERT TERAN CHOQUEHUANCA</t>
  </si>
  <si>
    <t>DENY ROXANA MAQUERA</t>
  </si>
  <si>
    <t>JOSE CHRISTIAN MUÑOZ VALDIVIA</t>
  </si>
  <si>
    <t xml:space="preserve">MARIA FERNANDA JOHNSON </t>
  </si>
  <si>
    <t>ORLANDO DARLAN HERRERA MENDOZA</t>
  </si>
  <si>
    <t>COOPAC VISION AREQUIPA</t>
  </si>
  <si>
    <t>CORPORACION BOTICAS PERU SAC</t>
  </si>
  <si>
    <t>LUANA CANDELARIA VASQUEZ SAMALVIDES DE FIGARI</t>
  </si>
  <si>
    <t>THE BEST TECHNICAL SERVICE</t>
  </si>
  <si>
    <t>VICTORIA ROCIO TOVAR TEJEDA</t>
  </si>
  <si>
    <t>MARLENY LUZ HUANCAN DE VILLACA</t>
  </si>
  <si>
    <t>DEA CARINA SAC</t>
  </si>
  <si>
    <t>MANSILLA LUQUE RODRIGO ALONZO</t>
  </si>
  <si>
    <t>REACTIVOS JEANS SRL</t>
  </si>
  <si>
    <t>DAYHANA YANINA CARRERA VALDIVIA</t>
  </si>
  <si>
    <t>JUAN CARLOS CERPA NEIRA</t>
  </si>
  <si>
    <t>ROSA ELOISA AMPUERO LINARES</t>
  </si>
  <si>
    <t>JERLING NAOMI DE PINO ZEGARRA</t>
  </si>
  <si>
    <t>BETTY MIGUELINDA CHAVEZ PEREZ</t>
  </si>
  <si>
    <t>ADONAY &amp; RAMS SRL</t>
  </si>
  <si>
    <t>EVA REGINA ARRIETA GOMEZ</t>
  </si>
  <si>
    <t>CLAUDIA CAROLINA ANGUL CALLE</t>
  </si>
  <si>
    <t>VELDE CORPORATION EIRL</t>
  </si>
  <si>
    <t>CYBER STORE PERU SAC</t>
  </si>
  <si>
    <t>R V Y V CONTRATISTAS GENERALES EIRL</t>
  </si>
  <si>
    <t>ROSALIA ZABALA MARTINEZ</t>
  </si>
  <si>
    <t>EVA PATRICIA KCANA</t>
  </si>
  <si>
    <t>EDGARD VICTOR YNFANTES</t>
  </si>
  <si>
    <t>JESSIKA ANGELITA MARQUEZ</t>
  </si>
  <si>
    <t>KRISTEL HERRERA LAZO</t>
  </si>
  <si>
    <t>MAIDAN MC EIRL</t>
  </si>
  <si>
    <t>RENDON MOYANO MARITZA</t>
  </si>
  <si>
    <t>PROYECTA ARQUITECTOS</t>
  </si>
  <si>
    <t xml:space="preserve">WALTER JUAN SALINAS </t>
  </si>
  <si>
    <t>JAMILETH JOSELINE TICONA</t>
  </si>
  <si>
    <t>GUSTAVO ANDRE HEREDIA</t>
  </si>
  <si>
    <t>LOBZAN KENNY VALENCIA</t>
  </si>
  <si>
    <t>ZOILA HILDA VIZCARDO</t>
  </si>
  <si>
    <t>LOURDES SOFIA FLORES</t>
  </si>
  <si>
    <t>CLIENTES VARIOS</t>
  </si>
  <si>
    <t>FUMIGACIONES OMAC PERU EIRL</t>
  </si>
  <si>
    <t>CENTRO OPTICO GUILLEN TAMAYO SRL</t>
  </si>
  <si>
    <t>CLASS SAC</t>
  </si>
  <si>
    <t>PROCESADOS DEL CAMPO SRL</t>
  </si>
  <si>
    <t>ALEJANDRA LUCIA RUBINA HIDALGO</t>
  </si>
  <si>
    <t>MARGARITA INIESTA NOCHA</t>
  </si>
  <si>
    <t>CESAR AUGUSTO GUZMAN NEYRA</t>
  </si>
  <si>
    <t>LORETA ABIGAIL NUÑEZ OVIEDO</t>
  </si>
  <si>
    <t>MIRLA JOHANA HUACASI</t>
  </si>
  <si>
    <t>MARIA DEL ROSARIO RIVERA DEL CARPIO</t>
  </si>
  <si>
    <t>ANGELICA ROXANA BERNEDO VALDIVIA</t>
  </si>
  <si>
    <t>JESSICA MAGALI PANTIGOSO ACOSTA</t>
  </si>
  <si>
    <t>JOSE LUIS SANCHEZ YTUSACA</t>
  </si>
  <si>
    <t>SERVICIOS IN-JAS WASH EIRL</t>
  </si>
  <si>
    <t>IMPORTADORA CITSA SAC</t>
  </si>
  <si>
    <t>GABRIELA JESUSA BOLAÑOS BEGAZO</t>
  </si>
  <si>
    <t>MARIA CONCEPCION PATRICIA CHAVEZ</t>
  </si>
  <si>
    <t>RUTH ORTIZ DE GONZALES</t>
  </si>
  <si>
    <t>ALVARO HENRY MAMANI ALIAGA</t>
  </si>
  <si>
    <t>VERONICA ROXANA ZEGARRA</t>
  </si>
  <si>
    <t>MELISA KATHERINE RUIS</t>
  </si>
  <si>
    <t>TILKKANTAY EIRL</t>
  </si>
  <si>
    <t>PAOLI JESUS CURITE</t>
  </si>
  <si>
    <t>CARPIO HERRERA ENMUNDO JULIO</t>
  </si>
  <si>
    <t>NEFROSUR EIRL</t>
  </si>
  <si>
    <t>YANIRA ROCIO GOMEZ GRANDA</t>
  </si>
  <si>
    <t>GIANCARLO JOEL CORNEJO MELGAREJO</t>
  </si>
  <si>
    <t>JOSE ANTONIO MAMANI CHOQUE</t>
  </si>
  <si>
    <t>MILENA OLIVIA OSCO</t>
  </si>
  <si>
    <t>AMALFFI WALTER JACOBO AMPUERO</t>
  </si>
  <si>
    <t>GRUPO CONSERJE EIRL</t>
  </si>
  <si>
    <t>MARIA LUZ MANTILLA</t>
  </si>
  <si>
    <t>ALEXANDER GUSTAVO PUMA</t>
  </si>
  <si>
    <t>FERNANDO TORRES VASQUEZ</t>
  </si>
  <si>
    <t>EMPRESA RJJ EIRL</t>
  </si>
  <si>
    <t>AMERICO RAMOS VARGAS</t>
  </si>
  <si>
    <t>VIOLETA JESUS AGUIRE</t>
  </si>
  <si>
    <t>RAUL GRINSTER CAIRA TICONA</t>
  </si>
  <si>
    <t>LOURDES CAROLINA MIRANDA</t>
  </si>
  <si>
    <t>ROMINA FABIOLA FARFAN SALCEDO</t>
  </si>
  <si>
    <t>MIGUELINA ANTONIETA QUIÑONES</t>
  </si>
  <si>
    <t>FELIPE CHANG CELIS</t>
  </si>
  <si>
    <t xml:space="preserve">MARIA AMPARO VALDIVIA ARENAS </t>
  </si>
  <si>
    <t>ENMA LAYDA MURILLO</t>
  </si>
  <si>
    <t>LIZETH HUARACHA BOBADILLA</t>
  </si>
  <si>
    <t>OLGA MARTHA ZEVALLOS</t>
  </si>
  <si>
    <t>MARIA DEL ROSARIO HERRERA</t>
  </si>
  <si>
    <t>ROXANA CONDE SELLERICO</t>
  </si>
  <si>
    <t>VIRGINIA LUZ DEL CARPIO JIMENEZ</t>
  </si>
  <si>
    <t>GREGORIA APAZA</t>
  </si>
  <si>
    <t>ANA LUCIA NAVENTA BALDEON</t>
  </si>
  <si>
    <t>CESAR AUGUSTO GUZMAN</t>
  </si>
  <si>
    <t>LUIS RAMIRO LLAMOCA</t>
  </si>
  <si>
    <t>YOHOBANE ALFARO TUPAYACHI</t>
  </si>
  <si>
    <t>LEONARDO ARAPA</t>
  </si>
  <si>
    <t>CCOSCCO JARA DANTE</t>
  </si>
  <si>
    <t>RONALD HUANCA RAMIREZ</t>
  </si>
  <si>
    <t>MARIA ANGELA PINTO ARRIETA</t>
  </si>
  <si>
    <t>SONIA LUZ MEDINA POMADERA</t>
  </si>
  <si>
    <t>ROMMEL RUBEN CHAVEZ</t>
  </si>
  <si>
    <t>HECTOR HERNAN ARAGON CHAMBY</t>
  </si>
  <si>
    <t>CLAUDIA MERCEDES RIVERA</t>
  </si>
  <si>
    <t xml:space="preserve">EDSWINA GICELE VALENCIA </t>
  </si>
  <si>
    <t>MICHELLA GUADALUPE PINEDA</t>
  </si>
  <si>
    <t>EVELYN GRACE SALAS</t>
  </si>
  <si>
    <t xml:space="preserve">KATTIA ISABEL GUZMAN </t>
  </si>
  <si>
    <t xml:space="preserve">MARIA DE LOURDES BECERRA </t>
  </si>
  <si>
    <t>SALCEDO PILAR CARLOS FLORENCIO</t>
  </si>
  <si>
    <t>PATRICIA MARIELA AMPUERO</t>
  </si>
  <si>
    <t>JUDY MARGOT CARDENAS HUARCA</t>
  </si>
  <si>
    <t>LESLY ISABEL SALINAS VALENCIA</t>
  </si>
  <si>
    <t>JOHANA ROSALY VELASQUES JACOBO</t>
  </si>
  <si>
    <t>JONATHAN YONIU CHAVEZ</t>
  </si>
  <si>
    <t>ROBERTO NORBIL AGUILAR BUSTAMANTE</t>
  </si>
  <si>
    <t>CENTRO OFTALMOLOGICO GUILLEN TAMAYO SAC</t>
  </si>
  <si>
    <t>EDY ELAR CUEVAS ARIZACA</t>
  </si>
  <si>
    <t>GLADIS ELENA DEL CARPIO TENORIO</t>
  </si>
  <si>
    <t>LINDA PAOLA TORRES RODRIGUEZ</t>
  </si>
  <si>
    <t>ALESSANDRO VALENCIA UNTAMA</t>
  </si>
  <si>
    <t>MARCO ANDRES ROJAS DIAZ</t>
  </si>
  <si>
    <t>ROSA JENNY CHAYÑA CONDORI</t>
  </si>
  <si>
    <t>PATRICIA GENOVEVA MORALES ALI</t>
  </si>
  <si>
    <t>ZAPATA COLONIA MATIO</t>
  </si>
  <si>
    <t>MARIA ANA SOTO DE TORRES</t>
  </si>
  <si>
    <t>JUAN CARLOS VALDEZ</t>
  </si>
  <si>
    <t>NATTY PAOLA PALOMINO GOMEZ</t>
  </si>
  <si>
    <t>ZULEMA ZORAIDA CHURA MENDOZA</t>
  </si>
  <si>
    <t xml:space="preserve">BEATRIZ ALMONTE VELARDE </t>
  </si>
  <si>
    <t>MARIA ELENA PACHECO ZEVALLOS</t>
  </si>
  <si>
    <t>VERONICA LORENA MARIA RUELAS</t>
  </si>
  <si>
    <t>GIOVANNA CANDELARIA UMPIRE ALVAREZ</t>
  </si>
  <si>
    <t>MARIA TERESA LA TORRE</t>
  </si>
  <si>
    <t>CERTIFICACIONES DEL PERU SA</t>
  </si>
  <si>
    <t>CESAR AUGUSTO ALEGRE MENDOZA</t>
  </si>
  <si>
    <t>DELIZ DIEGO QUISPE CHINO</t>
  </si>
  <si>
    <t>LEONCIO EDGARDO DEL CARPIO RIVERA</t>
  </si>
  <si>
    <t>FONTE YAKU SAC</t>
  </si>
  <si>
    <t>CLAUDIA NOHELYA VERA</t>
  </si>
  <si>
    <t>YOLANDA CRISTINA LOAIZA FIGUEROA</t>
  </si>
  <si>
    <t xml:space="preserve">JOSE BOLIVAR </t>
  </si>
  <si>
    <t>29/03/202</t>
  </si>
  <si>
    <t>CAROL JOHANA GAMIO</t>
  </si>
  <si>
    <t>LILIANA DIOMILA VALENCIA</t>
  </si>
  <si>
    <t>BRIAN VALDIGLESIAS</t>
  </si>
  <si>
    <t>ANGELICA MARIA COAGUILA</t>
  </si>
  <si>
    <t xml:space="preserve">ANA CECILIA RIVERA </t>
  </si>
  <si>
    <t xml:space="preserve">VALERIA ANDREA PAREDES </t>
  </si>
  <si>
    <t>GOZALO FERNANDO HERMOZA</t>
  </si>
  <si>
    <t>CARMEN ROSA ACUÑA CHACON</t>
  </si>
  <si>
    <t>HUGO ELMER PACOMPIA</t>
  </si>
  <si>
    <t>HAYDEE ROSALIA HUAMANI</t>
  </si>
  <si>
    <t>PABLO WILI MEDINA FLORES</t>
  </si>
  <si>
    <t>VANESSA FIORELLA ZUMAETA</t>
  </si>
  <si>
    <t>ANGELINA PACCAL VALENCIA</t>
  </si>
  <si>
    <t>BIOMHERIDA SAC</t>
  </si>
  <si>
    <t>KELLY RURUSH ARIAS</t>
  </si>
  <si>
    <t>WALTER PONCE CERVANTES</t>
  </si>
  <si>
    <t>PATRICIA RAMIREZ ALVAREZ</t>
  </si>
  <si>
    <t>GEOVANY MILAGRO LOAYZA</t>
  </si>
  <si>
    <t>KAREN JULISSA VALDIVIA MACHUCA</t>
  </si>
  <si>
    <t>HOSPITAL Y CLINICAS VETERINARIAS TERAN SAC</t>
  </si>
  <si>
    <t>SISKANA SAC</t>
  </si>
  <si>
    <t>DANIEL ARTURO BELTRAN</t>
  </si>
  <si>
    <t>MARCELA AGRIPINA MOSCOSO CARPIO</t>
  </si>
  <si>
    <t>DANTE CCOSCCO JARA</t>
  </si>
  <si>
    <t>ELENA HUISA TRIVEÑO</t>
  </si>
  <si>
    <t xml:space="preserve">PATRICIA CONSUELO CHIRE </t>
  </si>
  <si>
    <t>JAM AQUA FOODS &amp; SERVICES EIRL</t>
  </si>
  <si>
    <t>ELENA RAQUEL CHAVEZ PEREZ</t>
  </si>
  <si>
    <t>VALERIA BRUNELLA DIAZ</t>
  </si>
  <si>
    <t>MARIO FERNANDO LINGHAN</t>
  </si>
  <si>
    <t>ISABEL MARIA ALVIAR APCHO</t>
  </si>
  <si>
    <t>Fecha 
estimada de 
pago</t>
  </si>
  <si>
    <t>Estado</t>
  </si>
  <si>
    <t>Dias 
de
 atraso</t>
  </si>
  <si>
    <t>Fecha
Cancelación
Pago</t>
  </si>
  <si>
    <t>Destino
BBVA
BCP</t>
  </si>
  <si>
    <t>Valor
 Total
Factura</t>
  </si>
  <si>
    <t>Detracción 
12%</t>
  </si>
  <si>
    <t>Atraso por 364 días</t>
  </si>
  <si>
    <t>Atrasado</t>
  </si>
  <si>
    <t>Deuda</t>
  </si>
  <si>
    <t>sdfsdf</t>
  </si>
  <si>
    <t>Se pagó</t>
  </si>
  <si>
    <t>ghgn</t>
  </si>
  <si>
    <t>cxvsd</t>
  </si>
  <si>
    <t>pagaso</t>
  </si>
  <si>
    <t>Vencida</t>
  </si>
  <si>
    <t>Hace 3 días</t>
  </si>
  <si>
    <t>pago</t>
  </si>
  <si>
    <t>Pagado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</si>
</sst>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S/&quot;\ #,##0.00;[Red]\-&quot;S/&quot;\ #,##0.00"/>
    <numFmt numFmtId="164" formatCode="0.000"/>
    <numFmt numFmtId="165" formatCode="#,##0.000"/>
    <numFmt numFmtId="166" formatCode="dd\-mm\-yy;@"/>
    <numFmt numFmtId="167" formatCode="&quot;S/.&quot;\ #,##0.00;[Red]&quot;S/.&quot;\ \-#,##0.00"/>
    <numFmt numFmtId="168" formatCode="###,###,###,##0.00;\(###,###,###,##0.00\)"/>
    <numFmt numFmtId="169" formatCode="#,##0.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Arial Unicode MS"/>
      <family val="2"/>
    </font>
    <font>
      <sz val="12"/>
      <color theme="1"/>
      <name val="Arial Unicode MS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4" fillId="7" borderId="0" applyNumberFormat="0" applyBorder="0" applyAlignment="0" applyProtection="0"/>
    <xf numFmtId="0" fontId="1" fillId="8" borderId="0" applyNumberFormat="0" applyBorder="0" applyAlignment="0" applyProtection="0"/>
    <xf numFmtId="0" fontId="4" fillId="9" borderId="0" applyNumberFormat="0" applyBorder="0" applyAlignment="0" applyProtection="0"/>
  </cellStyleXfs>
  <cellXfs count="110">
    <xf numFmtId="0" fontId="0" fillId="0" borderId="0" xfId="0"/>
    <xf numFmtId="0" fontId="5" fillId="0" borderId="1" xfId="0" applyFont="1" applyBorder="1" applyAlignment="1" applyProtection="1">
      <alignment horizontal="center" vertical="center" wrapText="1"/>
      <protection hidden="1"/>
    </xf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0" fontId="6" fillId="0" borderId="2" xfId="0" applyFont="1" applyBorder="1" applyAlignment="1" applyProtection="1">
      <alignment horizontal="center" vertical="center" wrapText="1"/>
      <protection locked="0"/>
    </xf>
    <xf numFmtId="14" fontId="5" fillId="0" borderId="1" xfId="0" applyNumberFormat="1" applyFont="1" applyBorder="1" applyAlignment="1" applyProtection="1">
      <alignment horizontal="center" vertical="center" wrapText="1"/>
      <protection locked="0"/>
    </xf>
    <xf numFmtId="14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" fontId="5" fillId="0" borderId="1" xfId="3" applyNumberFormat="1" applyFont="1" applyFill="1" applyBorder="1" applyAlignment="1" applyProtection="1">
      <alignment horizontal="left" vertical="center" wrapText="1"/>
      <protection locked="0"/>
    </xf>
    <xf numFmtId="1" fontId="5" fillId="0" borderId="4" xfId="3" applyNumberFormat="1" applyFont="1" applyFill="1" applyBorder="1" applyAlignment="1" applyProtection="1">
      <alignment horizontal="center" vertical="center" wrapText="1"/>
      <protection locked="0"/>
    </xf>
    <xf numFmtId="1" fontId="5" fillId="0" borderId="4" xfId="0" applyNumberFormat="1" applyFont="1" applyBorder="1" applyAlignment="1" applyProtection="1">
      <alignment horizontal="center" vertical="center" wrapText="1"/>
      <protection locked="0"/>
    </xf>
    <xf numFmtId="1" fontId="5" fillId="0" borderId="1" xfId="0" applyNumberFormat="1" applyFont="1" applyBorder="1" applyAlignment="1" applyProtection="1">
      <alignment horizontal="center" vertical="center" wrapText="1"/>
      <protection locked="0"/>
    </xf>
    <xf numFmtId="4" fontId="6" fillId="0" borderId="4" xfId="4" applyNumberFormat="1" applyFont="1" applyFill="1" applyBorder="1" applyAlignment="1" applyProtection="1">
      <alignment horizontal="left" vertical="center" wrapText="1"/>
      <protection locked="0"/>
    </xf>
    <xf numFmtId="2" fontId="6" fillId="0" borderId="4" xfId="4" applyNumberFormat="1" applyFont="1" applyFill="1" applyBorder="1" applyAlignment="1" applyProtection="1">
      <alignment horizontal="left" vertical="center" wrapText="1"/>
      <protection locked="0"/>
    </xf>
    <xf numFmtId="164" fontId="6" fillId="0" borderId="4" xfId="4" applyNumberFormat="1" applyFont="1" applyFill="1" applyBorder="1" applyAlignment="1" applyProtection="1">
      <alignment horizontal="center" vertical="center" wrapText="1"/>
      <protection locked="0"/>
    </xf>
    <xf numFmtId="165" fontId="6" fillId="0" borderId="4" xfId="4" applyNumberFormat="1" applyFont="1" applyFill="1" applyBorder="1" applyAlignment="1" applyProtection="1">
      <alignment horizontal="center" vertical="center" wrapText="1"/>
      <protection locked="0"/>
    </xf>
    <xf numFmtId="4" fontId="6" fillId="0" borderId="4" xfId="4" applyNumberFormat="1" applyFont="1" applyFill="1" applyBorder="1" applyAlignment="1" applyProtection="1">
      <alignment horizontal="center" vertical="center" wrapText="1"/>
      <protection locked="0"/>
    </xf>
    <xf numFmtId="0" fontId="5" fillId="0" borderId="4" xfId="8" applyFont="1" applyFill="1" applyBorder="1" applyAlignment="1" applyProtection="1">
      <alignment horizontal="center" vertical="center" wrapText="1"/>
      <protection locked="0"/>
    </xf>
    <xf numFmtId="0" fontId="7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wrapText="1"/>
    </xf>
    <xf numFmtId="14" fontId="8" fillId="0" borderId="0" xfId="0" applyNumberFormat="1" applyFont="1" applyAlignment="1">
      <alignment horizontal="center"/>
    </xf>
    <xf numFmtId="14" fontId="9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9" fillId="0" borderId="0" xfId="0" applyNumberFormat="1" applyFont="1"/>
    <xf numFmtId="0" fontId="7" fillId="0" borderId="0" xfId="0" applyFont="1" applyAlignment="1">
      <alignment vertical="center"/>
    </xf>
    <xf numFmtId="2" fontId="7" fillId="0" borderId="0" xfId="0" applyNumberFormat="1" applyFont="1" applyAlignment="1">
      <alignment vertical="center"/>
    </xf>
    <xf numFmtId="4" fontId="7" fillId="0" borderId="0" xfId="0" applyNumberFormat="1" applyFont="1" applyAlignment="1">
      <alignment horizontal="left" vertical="center"/>
    </xf>
    <xf numFmtId="4" fontId="7" fillId="0" borderId="0" xfId="0" applyNumberFormat="1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/>
      <protection locked="0"/>
    </xf>
    <xf numFmtId="0" fontId="9" fillId="0" borderId="0" xfId="0" applyFont="1" applyAlignment="1">
      <alignment horizontal="left" vertical="center" wrapText="1"/>
    </xf>
    <xf numFmtId="14" fontId="8" fillId="0" borderId="0" xfId="0" applyNumberFormat="1" applyFont="1" applyAlignment="1">
      <alignment horizontal="center" vertical="center"/>
    </xf>
    <xf numFmtId="4" fontId="9" fillId="0" borderId="0" xfId="0" applyNumberFormat="1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14" fontId="9" fillId="0" borderId="0" xfId="0" applyNumberFormat="1" applyFont="1" applyAlignment="1">
      <alignment horizontal="center" vertical="center"/>
    </xf>
    <xf numFmtId="14" fontId="9" fillId="0" borderId="0" xfId="0" quotePrefix="1" applyNumberFormat="1" applyFont="1" applyAlignment="1">
      <alignment horizontal="left" vertical="center"/>
    </xf>
    <xf numFmtId="1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166" fontId="9" fillId="0" borderId="0" xfId="0" applyNumberFormat="1" applyFont="1" applyAlignment="1">
      <alignment vertical="center"/>
    </xf>
    <xf numFmtId="2" fontId="9" fillId="0" borderId="0" xfId="0" applyNumberFormat="1" applyFont="1" applyAlignment="1">
      <alignment vertical="center"/>
    </xf>
    <xf numFmtId="4" fontId="9" fillId="0" borderId="0" xfId="0" applyNumberFormat="1" applyFont="1" applyAlignment="1">
      <alignment horizontal="left" vertical="center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left" wrapText="1"/>
      <protection locked="0"/>
    </xf>
    <xf numFmtId="14" fontId="9" fillId="0" borderId="0" xfId="0" applyNumberFormat="1" applyFont="1" applyAlignment="1">
      <alignment horizontal="left"/>
    </xf>
    <xf numFmtId="2" fontId="9" fillId="0" borderId="0" xfId="0" applyNumberFormat="1" applyFont="1" applyAlignment="1" applyProtection="1">
      <alignment vertical="center"/>
      <protection locked="0"/>
    </xf>
    <xf numFmtId="4" fontId="9" fillId="0" borderId="0" xfId="6" applyNumberFormat="1" applyFont="1" applyFill="1" applyAlignment="1">
      <alignment horizontal="left" vertical="center" wrapText="1"/>
    </xf>
    <xf numFmtId="14" fontId="9" fillId="0" borderId="0" xfId="0" applyNumberFormat="1" applyFont="1" applyAlignment="1">
      <alignment horizontal="left" vertical="center"/>
    </xf>
    <xf numFmtId="1" fontId="9" fillId="0" borderId="0" xfId="3" applyNumberFormat="1" applyFont="1" applyFill="1" applyAlignment="1">
      <alignment horizontal="left" vertical="center" wrapText="1"/>
    </xf>
    <xf numFmtId="1" fontId="9" fillId="0" borderId="0" xfId="3" applyNumberFormat="1" applyFont="1" applyFill="1" applyAlignment="1">
      <alignment horizontal="center" vertical="center"/>
    </xf>
    <xf numFmtId="1" fontId="9" fillId="0" borderId="0" xfId="8" applyNumberFormat="1" applyFont="1" applyFill="1" applyAlignment="1">
      <alignment horizontal="left" vertical="center"/>
    </xf>
    <xf numFmtId="0" fontId="9" fillId="0" borderId="0" xfId="0" applyFont="1" applyAlignment="1" applyProtection="1">
      <alignment vertical="center"/>
      <protection locked="0"/>
    </xf>
    <xf numFmtId="14" fontId="7" fillId="0" borderId="0" xfId="0" applyNumberFormat="1" applyFont="1" applyAlignment="1">
      <alignment vertical="center"/>
    </xf>
    <xf numFmtId="0" fontId="10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1" fontId="7" fillId="0" borderId="0" xfId="0" applyNumberFormat="1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14" fontId="9" fillId="0" borderId="0" xfId="0" applyNumberFormat="1" applyFont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4" fontId="8" fillId="0" borderId="0" xfId="0" applyNumberFormat="1" applyFont="1" applyAlignment="1">
      <alignment horizontal="left" vertical="center"/>
    </xf>
    <xf numFmtId="14" fontId="9" fillId="0" borderId="0" xfId="3" applyNumberFormat="1" applyFont="1" applyFill="1" applyAlignment="1">
      <alignment horizontal="left" vertical="center" wrapText="1"/>
    </xf>
    <xf numFmtId="1" fontId="9" fillId="0" borderId="0" xfId="3" applyNumberFormat="1" applyFont="1" applyFill="1" applyAlignment="1">
      <alignment horizontal="center" vertical="center" wrapText="1"/>
    </xf>
    <xf numFmtId="0" fontId="9" fillId="0" borderId="0" xfId="0" applyFont="1" applyAlignment="1">
      <alignment horizontal="left" wrapText="1"/>
    </xf>
    <xf numFmtId="14" fontId="8" fillId="0" borderId="0" xfId="0" applyNumberFormat="1" applyFont="1" applyAlignment="1">
      <alignment horizontal="center" vertical="center" wrapText="1"/>
    </xf>
    <xf numFmtId="0" fontId="9" fillId="0" borderId="0" xfId="8" applyFont="1" applyFill="1" applyAlignment="1">
      <alignment horizontal="center" vertical="center" wrapText="1"/>
    </xf>
    <xf numFmtId="49" fontId="9" fillId="0" borderId="0" xfId="0" applyNumberFormat="1" applyFont="1" applyAlignment="1">
      <alignment horizontal="left" vertical="center" wrapText="1"/>
    </xf>
    <xf numFmtId="0" fontId="7" fillId="0" borderId="0" xfId="0" applyFont="1" applyProtection="1">
      <protection hidden="1"/>
    </xf>
    <xf numFmtId="49" fontId="7" fillId="0" borderId="0" xfId="0" applyNumberFormat="1" applyFont="1" applyAlignment="1" applyProtection="1">
      <alignment horizontal="left"/>
      <protection locked="0"/>
    </xf>
    <xf numFmtId="14" fontId="8" fillId="0" borderId="0" xfId="0" applyNumberFormat="1" applyFont="1" applyAlignment="1" applyProtection="1">
      <alignment horizontal="center"/>
      <protection locked="0"/>
    </xf>
    <xf numFmtId="14" fontId="9" fillId="0" borderId="0" xfId="0" applyNumberFormat="1" applyFont="1" applyProtection="1">
      <protection locked="0"/>
    </xf>
    <xf numFmtId="14" fontId="7" fillId="0" borderId="0" xfId="0" applyNumberFormat="1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2" fontId="7" fillId="0" borderId="0" xfId="0" applyNumberFormat="1" applyFont="1" applyAlignment="1" applyProtection="1">
      <alignment horizontal="left" vertical="center"/>
      <protection locked="0"/>
    </xf>
    <xf numFmtId="164" fontId="7" fillId="0" borderId="0" xfId="0" applyNumberFormat="1" applyFont="1" applyAlignment="1" applyProtection="1">
      <alignment horizontal="left" vertical="center"/>
      <protection locked="0"/>
    </xf>
    <xf numFmtId="165" fontId="7" fillId="0" borderId="0" xfId="0" applyNumberFormat="1" applyFont="1" applyProtection="1">
      <protection locked="0"/>
    </xf>
    <xf numFmtId="165" fontId="7" fillId="0" borderId="0" xfId="0" applyNumberFormat="1" applyFont="1" applyAlignment="1" applyProtection="1">
      <alignment horizontal="left"/>
      <protection locked="0"/>
    </xf>
    <xf numFmtId="4" fontId="7" fillId="0" borderId="0" xfId="0" applyNumberFormat="1" applyFont="1" applyAlignment="1" applyProtection="1">
      <alignment horizontal="left"/>
      <protection locked="0"/>
    </xf>
    <xf numFmtId="0" fontId="9" fillId="0" borderId="0" xfId="0" applyFont="1" applyProtection="1">
      <protection locked="0"/>
    </xf>
    <xf numFmtId="1" fontId="9" fillId="0" borderId="0" xfId="0" applyNumberFormat="1" applyFont="1" applyProtection="1">
      <protection locked="0"/>
    </xf>
    <xf numFmtId="1" fontId="7" fillId="0" borderId="0" xfId="0" applyNumberFormat="1" applyFont="1" applyAlignment="1" applyProtection="1">
      <alignment horizontal="center"/>
      <protection locked="0"/>
    </xf>
    <xf numFmtId="0" fontId="9" fillId="0" borderId="0" xfId="0" applyFont="1" applyAlignment="1" applyProtection="1">
      <alignment wrapText="1"/>
      <protection locked="0"/>
    </xf>
    <xf numFmtId="2" fontId="9" fillId="0" borderId="0" xfId="0" applyNumberFormat="1" applyFont="1" applyProtection="1">
      <protection locked="0"/>
    </xf>
    <xf numFmtId="2" fontId="11" fillId="0" borderId="0" xfId="0" applyNumberFormat="1" applyFont="1" applyProtection="1">
      <protection locked="0"/>
    </xf>
    <xf numFmtId="167" fontId="7" fillId="0" borderId="0" xfId="0" applyNumberFormat="1" applyFont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14" fontId="7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left"/>
    </xf>
    <xf numFmtId="14" fontId="1" fillId="6" borderId="1" xfId="5" applyNumberFormat="1" applyBorder="1" applyAlignment="1" applyProtection="1">
      <alignment horizontal="center" vertical="center" wrapText="1"/>
      <protection locked="0"/>
    </xf>
    <xf numFmtId="1" fontId="1" fillId="6" borderId="1" xfId="5" applyNumberFormat="1" applyBorder="1" applyAlignment="1" applyProtection="1">
      <alignment horizontal="center" vertical="center" wrapText="1"/>
      <protection locked="0"/>
    </xf>
    <xf numFmtId="0" fontId="1" fillId="6" borderId="1" xfId="5" applyBorder="1" applyAlignment="1" applyProtection="1">
      <alignment horizontal="center" vertical="center"/>
      <protection locked="0"/>
    </xf>
    <xf numFmtId="0" fontId="1" fillId="6" borderId="2" xfId="5" applyBorder="1" applyAlignment="1" applyProtection="1">
      <alignment horizontal="center" vertical="center" wrapText="1"/>
      <protection locked="0"/>
    </xf>
    <xf numFmtId="4" fontId="1" fillId="6" borderId="1" xfId="5" applyNumberFormat="1" applyBorder="1" applyAlignment="1" applyProtection="1">
      <alignment horizontal="center" vertical="center"/>
      <protection locked="0"/>
    </xf>
    <xf numFmtId="1" fontId="3" fillId="3" borderId="1" xfId="2" applyNumberFormat="1" applyBorder="1" applyAlignment="1" applyProtection="1">
      <alignment horizontal="center" vertical="center" wrapText="1"/>
      <protection locked="0"/>
    </xf>
    <xf numFmtId="14" fontId="3" fillId="3" borderId="1" xfId="2" applyNumberFormat="1" applyBorder="1" applyAlignment="1">
      <alignment horizontal="center" vertical="center" wrapText="1"/>
    </xf>
    <xf numFmtId="4" fontId="2" fillId="2" borderId="1" xfId="1" applyNumberFormat="1" applyBorder="1" applyAlignment="1">
      <alignment horizontal="center" vertical="center" wrapText="1"/>
    </xf>
    <xf numFmtId="2" fontId="2" fillId="2" borderId="1" xfId="1" applyNumberFormat="1" applyBorder="1" applyAlignment="1">
      <alignment horizontal="center" vertical="center" wrapText="1"/>
    </xf>
    <xf numFmtId="14" fontId="1" fillId="8" borderId="1" xfId="7" applyNumberFormat="1" applyBorder="1" applyAlignment="1" applyProtection="1">
      <alignment horizontal="center" vertical="center" wrapText="1"/>
      <protection locked="0"/>
    </xf>
    <xf numFmtId="168" fontId="1" fillId="8" borderId="1" xfId="7" applyNumberFormat="1" applyBorder="1" applyAlignment="1" applyProtection="1">
      <alignment horizontal="center" vertical="center" wrapText="1"/>
      <protection locked="0"/>
    </xf>
    <xf numFmtId="169" fontId="1" fillId="8" borderId="1" xfId="7" applyNumberFormat="1" applyBorder="1" applyAlignment="1" applyProtection="1">
      <alignment horizontal="center" vertical="center" wrapText="1"/>
      <protection locked="0"/>
    </xf>
    <xf numFmtId="4" fontId="0" fillId="8" borderId="1" xfId="7" applyNumberFormat="1" applyFont="1" applyBorder="1" applyAlignment="1" applyProtection="1">
      <alignment horizontal="center" vertical="center" wrapText="1"/>
      <protection locked="0"/>
    </xf>
    <xf numFmtId="168" fontId="1" fillId="8" borderId="5" xfId="7" applyNumberFormat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19" fontId="0" fillId="0" borderId="0" xfId="0" applyNumberFormat="1"/>
    <xf numFmtId="21" fontId="0" fillId="0" borderId="0" xfId="0" applyNumberFormat="1"/>
    <xf numFmtId="8" fontId="7" fillId="0" borderId="0" xfId="0" applyNumberFormat="1" applyFont="1" applyAlignment="1">
      <alignment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 applyProtection="1">
      <alignment horizontal="center" vertical="center" wrapText="1"/>
      <protection locked="0"/>
    </xf>
  </cellXfs>
  <cellStyles count="9">
    <cellStyle name="20% - Énfasis4" xfId="5" builtinId="42"/>
    <cellStyle name="40% - Énfasis3" xfId="4" builtinId="39"/>
    <cellStyle name="40% - Énfasis5" xfId="7" builtinId="47"/>
    <cellStyle name="Bueno" xfId="1" builtinId="26"/>
    <cellStyle name="Énfasis3" xfId="3" builtinId="37"/>
    <cellStyle name="Énfasis5" xfId="6" builtinId="45"/>
    <cellStyle name="Énfasis6" xfId="8" builtinId="49"/>
    <cellStyle name="Incorrecto" xfId="2" builtinId="27"/>
    <cellStyle name="Normal" xfId="0" builtinId="0"/>
  </cellStyles>
  <dxfs count="296"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541020</xdr:colOff>
          <xdr:row>0</xdr:row>
          <xdr:rowOff>83820</xdr:rowOff>
        </xdr:from>
        <xdr:to>
          <xdr:col>17</xdr:col>
          <xdr:colOff>175260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E6D5-B9CC-4FFE-B658-FEAA70A79C0B}">
  <sheetPr codeName="Hoja2"/>
  <dimension ref="A1:Y405"/>
  <sheetViews>
    <sheetView zoomScale="62" zoomScaleNormal="62" workbookViewId="0">
      <selection activeCell="L2" sqref="L2"/>
    </sheetView>
  </sheetViews>
  <sheetFormatPr baseColWidth="10" defaultRowHeight="14.4"/>
  <sheetData>
    <row r="1" spans="1:25" ht="75">
      <c r="A1" s="4" t="s">
        <v>275</v>
      </c>
      <c r="B1" s="87" t="s">
        <v>276</v>
      </c>
      <c r="C1" s="1" t="s">
        <v>0</v>
      </c>
      <c r="D1" s="2" t="s">
        <v>1</v>
      </c>
      <c r="E1" s="108" t="s">
        <v>2</v>
      </c>
      <c r="F1" s="109"/>
      <c r="G1" s="108" t="s">
        <v>3</v>
      </c>
      <c r="H1" s="109"/>
      <c r="I1" s="3" t="s">
        <v>4</v>
      </c>
      <c r="J1" s="4" t="s">
        <v>5</v>
      </c>
      <c r="K1" s="4" t="s">
        <v>6</v>
      </c>
      <c r="L1" s="5" t="s">
        <v>7</v>
      </c>
      <c r="M1" s="6" t="s">
        <v>8</v>
      </c>
      <c r="N1" s="7" t="s">
        <v>9</v>
      </c>
      <c r="O1" s="8" t="s">
        <v>10</v>
      </c>
      <c r="P1" s="9" t="s">
        <v>11</v>
      </c>
      <c r="Q1" s="10" t="s">
        <v>12</v>
      </c>
      <c r="R1" s="11" t="s">
        <v>13</v>
      </c>
      <c r="S1" s="12" t="s">
        <v>14</v>
      </c>
      <c r="T1" s="13" t="s">
        <v>15</v>
      </c>
      <c r="U1" s="14" t="s">
        <v>16</v>
      </c>
      <c r="V1" s="14" t="s">
        <v>17</v>
      </c>
      <c r="W1" s="14" t="s">
        <v>18</v>
      </c>
      <c r="X1" s="14" t="s">
        <v>19</v>
      </c>
      <c r="Y1" s="15" t="s">
        <v>20</v>
      </c>
    </row>
    <row r="2" spans="1:25" ht="93.6">
      <c r="A2" s="88">
        <v>44564</v>
      </c>
      <c r="B2" s="16" t="s">
        <v>277</v>
      </c>
      <c r="C2" s="16" t="s">
        <v>21</v>
      </c>
      <c r="D2" s="17" t="s">
        <v>22</v>
      </c>
      <c r="E2" s="18">
        <v>3</v>
      </c>
      <c r="F2" s="18" t="s">
        <v>23</v>
      </c>
      <c r="G2" s="18">
        <v>50</v>
      </c>
      <c r="H2" s="18" t="s">
        <v>24</v>
      </c>
      <c r="I2" s="19" t="s">
        <v>25</v>
      </c>
      <c r="J2" s="20"/>
      <c r="K2" s="21"/>
      <c r="L2" s="22">
        <v>45296</v>
      </c>
      <c r="M2" s="23"/>
      <c r="N2" s="24" t="s">
        <v>26</v>
      </c>
      <c r="O2" s="23">
        <v>1</v>
      </c>
      <c r="P2" s="25"/>
      <c r="Q2" s="107">
        <v>0.7</v>
      </c>
      <c r="R2" s="27"/>
      <c r="S2" s="28"/>
      <c r="T2" s="29">
        <v>25.42</v>
      </c>
      <c r="U2" s="29">
        <f>+T2*E2</f>
        <v>76.260000000000005</v>
      </c>
      <c r="V2" s="29">
        <f>+U2</f>
        <v>76.260000000000005</v>
      </c>
      <c r="W2" s="29">
        <f>+V2*0.18</f>
        <v>13.726800000000001</v>
      </c>
      <c r="X2" s="29">
        <f>+W2+V2</f>
        <v>89.986800000000002</v>
      </c>
      <c r="Y2" s="30"/>
    </row>
    <row r="3" spans="1:25" ht="62.4">
      <c r="A3" s="88">
        <v>44565</v>
      </c>
      <c r="B3" s="16" t="s">
        <v>278</v>
      </c>
      <c r="C3" s="16" t="s">
        <v>21</v>
      </c>
      <c r="D3" s="17" t="s">
        <v>22</v>
      </c>
      <c r="E3" s="18">
        <v>1</v>
      </c>
      <c r="F3" s="18" t="s">
        <v>24</v>
      </c>
      <c r="G3" s="18">
        <v>1</v>
      </c>
      <c r="H3" s="18" t="s">
        <v>28</v>
      </c>
      <c r="I3" s="19" t="s">
        <v>29</v>
      </c>
      <c r="J3" s="20"/>
      <c r="K3" s="21"/>
      <c r="L3" s="22">
        <v>45295</v>
      </c>
      <c r="M3" s="23"/>
      <c r="N3" s="24" t="s">
        <v>30</v>
      </c>
      <c r="O3" s="23">
        <v>365</v>
      </c>
      <c r="P3" s="25"/>
      <c r="Q3" s="26" t="s">
        <v>27</v>
      </c>
      <c r="R3" s="27"/>
      <c r="S3" s="28"/>
      <c r="T3" s="29">
        <v>10.17</v>
      </c>
      <c r="U3" s="29">
        <f t="shared" ref="U3:U4" si="0">+T3*E3</f>
        <v>10.17</v>
      </c>
      <c r="V3" s="29">
        <f t="shared" ref="V3:V71" si="1">+U3</f>
        <v>10.17</v>
      </c>
      <c r="W3" s="29">
        <f t="shared" ref="W3:W71" si="2">+V3*0.18</f>
        <v>1.8306</v>
      </c>
      <c r="X3" s="29">
        <f t="shared" ref="X3:X66" si="3">+W3+V3</f>
        <v>12.0006</v>
      </c>
      <c r="Y3" s="30"/>
    </row>
    <row r="4" spans="1:25" ht="31.2">
      <c r="A4" s="88">
        <v>44565</v>
      </c>
      <c r="B4" s="16" t="s">
        <v>278</v>
      </c>
      <c r="C4" s="16" t="s">
        <v>21</v>
      </c>
      <c r="D4" s="17" t="s">
        <v>22</v>
      </c>
      <c r="E4" s="18">
        <v>1</v>
      </c>
      <c r="F4" s="18" t="s">
        <v>24</v>
      </c>
      <c r="G4" s="18">
        <v>1</v>
      </c>
      <c r="H4" s="18" t="s">
        <v>28</v>
      </c>
      <c r="I4" s="19" t="s">
        <v>31</v>
      </c>
      <c r="J4" s="20"/>
      <c r="K4" s="21"/>
      <c r="L4" s="22">
        <v>45295</v>
      </c>
      <c r="M4" s="23"/>
      <c r="N4" s="24" t="s">
        <v>30</v>
      </c>
      <c r="O4" s="23">
        <v>365</v>
      </c>
      <c r="P4" s="25"/>
      <c r="Q4" s="26" t="s">
        <v>27</v>
      </c>
      <c r="R4" s="27"/>
      <c r="S4" s="28"/>
      <c r="T4" s="29">
        <v>8.0500000000000007</v>
      </c>
      <c r="U4" s="29">
        <f t="shared" si="0"/>
        <v>8.0500000000000007</v>
      </c>
      <c r="V4" s="29">
        <f t="shared" si="1"/>
        <v>8.0500000000000007</v>
      </c>
      <c r="W4" s="29">
        <f t="shared" si="2"/>
        <v>1.4490000000000001</v>
      </c>
      <c r="X4" s="29">
        <f t="shared" si="3"/>
        <v>9.4990000000000006</v>
      </c>
      <c r="Y4" s="30"/>
    </row>
    <row r="5" spans="1:25" ht="93.6">
      <c r="A5" s="88">
        <v>44565</v>
      </c>
      <c r="B5" s="16" t="s">
        <v>279</v>
      </c>
      <c r="C5" s="16" t="s">
        <v>21</v>
      </c>
      <c r="D5" s="17" t="s">
        <v>22</v>
      </c>
      <c r="E5" s="18">
        <v>1</v>
      </c>
      <c r="F5" s="18" t="s">
        <v>24</v>
      </c>
      <c r="G5" s="18">
        <v>1</v>
      </c>
      <c r="H5" s="18" t="s">
        <v>32</v>
      </c>
      <c r="I5" s="19" t="s">
        <v>33</v>
      </c>
      <c r="J5" s="20"/>
      <c r="K5" s="21"/>
      <c r="L5" s="22">
        <v>44565</v>
      </c>
      <c r="M5" s="23"/>
      <c r="N5" s="24" t="s">
        <v>34</v>
      </c>
      <c r="O5" s="23">
        <v>1</v>
      </c>
      <c r="P5" s="25"/>
      <c r="Q5" s="26" t="s">
        <v>27</v>
      </c>
      <c r="R5" s="27">
        <v>8.4700000000000006</v>
      </c>
      <c r="S5" s="28"/>
      <c r="T5" s="29">
        <v>110.17</v>
      </c>
      <c r="U5" s="29">
        <f>(T5*E5)-R5</f>
        <v>101.7</v>
      </c>
      <c r="V5" s="29">
        <f t="shared" si="1"/>
        <v>101.7</v>
      </c>
      <c r="W5" s="29">
        <f t="shared" si="2"/>
        <v>18.306000000000001</v>
      </c>
      <c r="X5" s="29">
        <f t="shared" si="3"/>
        <v>120.006</v>
      </c>
      <c r="Y5" s="30"/>
    </row>
    <row r="6" spans="1:25" ht="15.6">
      <c r="A6" s="88">
        <v>44566</v>
      </c>
      <c r="B6" s="16" t="s">
        <v>280</v>
      </c>
      <c r="C6" s="16" t="s">
        <v>21</v>
      </c>
      <c r="D6" s="17" t="s">
        <v>22</v>
      </c>
      <c r="E6" s="18">
        <v>3</v>
      </c>
      <c r="F6" s="18" t="s">
        <v>24</v>
      </c>
      <c r="G6" s="18">
        <v>4</v>
      </c>
      <c r="H6" s="18" t="s">
        <v>28</v>
      </c>
      <c r="I6" s="31" t="s">
        <v>35</v>
      </c>
      <c r="J6" s="32"/>
      <c r="K6" s="21"/>
      <c r="L6" s="22">
        <v>44566</v>
      </c>
      <c r="M6" s="23"/>
      <c r="N6" s="24" t="s">
        <v>36</v>
      </c>
      <c r="O6" s="23">
        <v>1</v>
      </c>
      <c r="P6" s="25"/>
      <c r="Q6" s="26" t="s">
        <v>27</v>
      </c>
      <c r="R6" s="27">
        <v>23.73</v>
      </c>
      <c r="S6" s="33"/>
      <c r="T6" s="29">
        <v>23.73</v>
      </c>
      <c r="U6" s="29">
        <f>(T6*E6)-R6</f>
        <v>47.459999999999994</v>
      </c>
      <c r="V6" s="29">
        <f t="shared" si="1"/>
        <v>47.459999999999994</v>
      </c>
      <c r="W6" s="29">
        <f t="shared" si="2"/>
        <v>8.542799999999998</v>
      </c>
      <c r="X6" s="29">
        <f t="shared" si="3"/>
        <v>56.002799999999993</v>
      </c>
      <c r="Y6" s="34"/>
    </row>
    <row r="7" spans="1:25" ht="15.6">
      <c r="A7" s="37">
        <v>44566</v>
      </c>
      <c r="B7" s="35" t="s">
        <v>281</v>
      </c>
      <c r="C7" s="35" t="s">
        <v>21</v>
      </c>
      <c r="D7" s="36" t="s">
        <v>22</v>
      </c>
      <c r="E7" s="35">
        <v>2</v>
      </c>
      <c r="F7" s="35" t="s">
        <v>24</v>
      </c>
      <c r="G7" s="35">
        <v>4</v>
      </c>
      <c r="H7" s="35" t="s">
        <v>28</v>
      </c>
      <c r="I7" s="31" t="s">
        <v>35</v>
      </c>
      <c r="J7" s="32"/>
      <c r="K7" s="37"/>
      <c r="L7" s="38">
        <v>44566</v>
      </c>
      <c r="M7" s="39"/>
      <c r="N7" s="40" t="s">
        <v>37</v>
      </c>
      <c r="O7" s="39">
        <v>1</v>
      </c>
      <c r="P7" s="25"/>
      <c r="Q7" s="41" t="s">
        <v>27</v>
      </c>
      <c r="R7" s="42"/>
      <c r="S7" s="43"/>
      <c r="T7" s="29">
        <v>23.73</v>
      </c>
      <c r="U7" s="29">
        <f t="shared" ref="U7:U70" si="4">(T7*E7)-R7</f>
        <v>47.46</v>
      </c>
      <c r="V7" s="29">
        <f t="shared" si="1"/>
        <v>47.46</v>
      </c>
      <c r="W7" s="29">
        <f t="shared" si="2"/>
        <v>8.5427999999999997</v>
      </c>
      <c r="X7" s="29">
        <f t="shared" si="3"/>
        <v>56.002800000000001</v>
      </c>
      <c r="Y7" s="44"/>
    </row>
    <row r="8" spans="1:25" ht="31.2">
      <c r="A8" s="37">
        <v>44566</v>
      </c>
      <c r="B8" s="35" t="s">
        <v>281</v>
      </c>
      <c r="C8" s="35" t="s">
        <v>21</v>
      </c>
      <c r="D8" s="36" t="s">
        <v>22</v>
      </c>
      <c r="E8" s="35">
        <v>1</v>
      </c>
      <c r="F8" s="35" t="s">
        <v>24</v>
      </c>
      <c r="G8" s="35">
        <v>4</v>
      </c>
      <c r="H8" s="35" t="s">
        <v>28</v>
      </c>
      <c r="I8" s="31" t="s">
        <v>38</v>
      </c>
      <c r="J8" s="32"/>
      <c r="K8" s="37"/>
      <c r="L8" s="38">
        <v>44566</v>
      </c>
      <c r="M8" s="39"/>
      <c r="N8" s="40" t="s">
        <v>37</v>
      </c>
      <c r="O8" s="39">
        <v>1</v>
      </c>
      <c r="P8" s="25"/>
      <c r="Q8" s="41" t="s">
        <v>27</v>
      </c>
      <c r="R8" s="42">
        <v>19.5</v>
      </c>
      <c r="S8" s="43"/>
      <c r="T8" s="29">
        <v>19.5</v>
      </c>
      <c r="U8" s="29">
        <f t="shared" si="4"/>
        <v>0</v>
      </c>
      <c r="V8" s="29">
        <f t="shared" si="1"/>
        <v>0</v>
      </c>
      <c r="W8" s="29">
        <f t="shared" si="2"/>
        <v>0</v>
      </c>
      <c r="X8" s="29">
        <f t="shared" si="3"/>
        <v>0</v>
      </c>
      <c r="Y8" s="44"/>
    </row>
    <row r="9" spans="1:25" ht="31.2">
      <c r="A9" s="37">
        <v>44567</v>
      </c>
      <c r="B9" s="35" t="s">
        <v>282</v>
      </c>
      <c r="C9" s="35" t="s">
        <v>21</v>
      </c>
      <c r="D9" s="36" t="s">
        <v>22</v>
      </c>
      <c r="E9" s="35">
        <v>1</v>
      </c>
      <c r="F9" s="35" t="s">
        <v>24</v>
      </c>
      <c r="G9" s="35">
        <v>4</v>
      </c>
      <c r="H9" s="35" t="s">
        <v>28</v>
      </c>
      <c r="I9" s="31" t="s">
        <v>38</v>
      </c>
      <c r="J9" s="32"/>
      <c r="K9" s="37"/>
      <c r="L9" s="38">
        <v>44202</v>
      </c>
      <c r="M9" s="39"/>
      <c r="N9" s="40" t="s">
        <v>39</v>
      </c>
      <c r="O9" s="39">
        <v>1</v>
      </c>
      <c r="P9" s="25"/>
      <c r="Q9" s="41" t="s">
        <v>27</v>
      </c>
      <c r="R9" s="42">
        <v>16.53</v>
      </c>
      <c r="S9" s="43"/>
      <c r="T9" s="29">
        <v>16.53</v>
      </c>
      <c r="U9" s="29">
        <f t="shared" si="4"/>
        <v>0</v>
      </c>
      <c r="V9" s="29">
        <f t="shared" si="1"/>
        <v>0</v>
      </c>
      <c r="W9" s="29">
        <f t="shared" si="2"/>
        <v>0</v>
      </c>
      <c r="X9" s="29">
        <f t="shared" si="3"/>
        <v>0</v>
      </c>
      <c r="Y9" s="44"/>
    </row>
    <row r="10" spans="1:25" ht="31.2">
      <c r="A10" s="37">
        <v>44567</v>
      </c>
      <c r="B10" s="35" t="s">
        <v>282</v>
      </c>
      <c r="C10" s="35" t="s">
        <v>21</v>
      </c>
      <c r="D10" s="36" t="s">
        <v>22</v>
      </c>
      <c r="E10" s="35">
        <v>1</v>
      </c>
      <c r="F10" s="35" t="s">
        <v>24</v>
      </c>
      <c r="G10" s="35">
        <v>4</v>
      </c>
      <c r="H10" s="35" t="s">
        <v>28</v>
      </c>
      <c r="I10" s="31" t="s">
        <v>40</v>
      </c>
      <c r="J10" s="32"/>
      <c r="K10" s="37"/>
      <c r="L10" s="38">
        <v>44202</v>
      </c>
      <c r="M10" s="39"/>
      <c r="N10" s="40" t="s">
        <v>39</v>
      </c>
      <c r="O10" s="39">
        <v>1</v>
      </c>
      <c r="P10" s="25"/>
      <c r="Q10" s="41" t="s">
        <v>27</v>
      </c>
      <c r="R10" s="42"/>
      <c r="S10" s="43"/>
      <c r="T10" s="29">
        <v>16.95</v>
      </c>
      <c r="U10" s="29">
        <f t="shared" si="4"/>
        <v>16.95</v>
      </c>
      <c r="V10" s="29">
        <f t="shared" si="1"/>
        <v>16.95</v>
      </c>
      <c r="W10" s="29">
        <f t="shared" si="2"/>
        <v>3.0509999999999997</v>
      </c>
      <c r="X10" s="29">
        <f t="shared" si="3"/>
        <v>20.000999999999998</v>
      </c>
      <c r="Y10" s="44"/>
    </row>
    <row r="11" spans="1:25" ht="31.2">
      <c r="A11" s="37">
        <v>44567</v>
      </c>
      <c r="B11" s="35" t="s">
        <v>282</v>
      </c>
      <c r="C11" s="35" t="s">
        <v>21</v>
      </c>
      <c r="D11" s="36" t="s">
        <v>22</v>
      </c>
      <c r="E11" s="35">
        <v>1</v>
      </c>
      <c r="F11" s="35" t="s">
        <v>24</v>
      </c>
      <c r="G11" s="35">
        <v>4</v>
      </c>
      <c r="H11" s="35" t="s">
        <v>28</v>
      </c>
      <c r="I11" s="31" t="s">
        <v>41</v>
      </c>
      <c r="J11" s="32"/>
      <c r="K11" s="37"/>
      <c r="L11" s="38">
        <v>44202</v>
      </c>
      <c r="M11" s="39"/>
      <c r="N11" s="40" t="s">
        <v>39</v>
      </c>
      <c r="O11" s="39">
        <v>1</v>
      </c>
      <c r="P11" s="25"/>
      <c r="Q11" s="41" t="s">
        <v>27</v>
      </c>
      <c r="R11" s="42"/>
      <c r="S11" s="43"/>
      <c r="T11" s="29">
        <v>30.51</v>
      </c>
      <c r="U11" s="29">
        <f t="shared" si="4"/>
        <v>30.51</v>
      </c>
      <c r="V11" s="29">
        <f t="shared" si="1"/>
        <v>30.51</v>
      </c>
      <c r="W11" s="29">
        <f t="shared" si="2"/>
        <v>5.4918000000000005</v>
      </c>
      <c r="X11" s="29">
        <f t="shared" si="3"/>
        <v>36.001800000000003</v>
      </c>
      <c r="Y11" s="44"/>
    </row>
    <row r="12" spans="1:25" ht="46.8">
      <c r="A12" s="37">
        <v>44567</v>
      </c>
      <c r="B12" s="35" t="s">
        <v>283</v>
      </c>
      <c r="C12" s="35" t="s">
        <v>21</v>
      </c>
      <c r="D12" s="36" t="s">
        <v>22</v>
      </c>
      <c r="E12" s="35">
        <v>1</v>
      </c>
      <c r="F12" s="35" t="s">
        <v>24</v>
      </c>
      <c r="G12" s="35">
        <v>4</v>
      </c>
      <c r="H12" s="35" t="s">
        <v>28</v>
      </c>
      <c r="I12" s="31" t="s">
        <v>42</v>
      </c>
      <c r="J12" s="32"/>
      <c r="K12" s="37"/>
      <c r="L12" s="38">
        <v>44567</v>
      </c>
      <c r="M12" s="39"/>
      <c r="N12" s="40" t="s">
        <v>43</v>
      </c>
      <c r="O12" s="39">
        <v>1</v>
      </c>
      <c r="P12" s="25"/>
      <c r="Q12" s="41" t="s">
        <v>27</v>
      </c>
      <c r="R12" s="42"/>
      <c r="S12" s="43"/>
      <c r="T12" s="29">
        <v>47.46</v>
      </c>
      <c r="U12" s="29">
        <f t="shared" si="4"/>
        <v>47.46</v>
      </c>
      <c r="V12" s="29">
        <f t="shared" si="1"/>
        <v>47.46</v>
      </c>
      <c r="W12" s="29">
        <f t="shared" si="2"/>
        <v>8.5427999999999997</v>
      </c>
      <c r="X12" s="29">
        <f t="shared" si="3"/>
        <v>56.002800000000001</v>
      </c>
      <c r="Y12" s="44"/>
    </row>
    <row r="13" spans="1:25" ht="31.2">
      <c r="A13" s="37">
        <v>44567</v>
      </c>
      <c r="B13" s="35" t="s">
        <v>283</v>
      </c>
      <c r="C13" s="35" t="s">
        <v>21</v>
      </c>
      <c r="D13" s="36" t="s">
        <v>22</v>
      </c>
      <c r="E13" s="35">
        <v>1</v>
      </c>
      <c r="F13" s="35" t="s">
        <v>24</v>
      </c>
      <c r="G13" s="35">
        <v>4</v>
      </c>
      <c r="H13" s="35" t="s">
        <v>28</v>
      </c>
      <c r="I13" s="31" t="s">
        <v>31</v>
      </c>
      <c r="J13" s="32"/>
      <c r="K13" s="37"/>
      <c r="L13" s="38">
        <v>44567</v>
      </c>
      <c r="M13" s="39"/>
      <c r="N13" s="40" t="s">
        <v>43</v>
      </c>
      <c r="O13" s="39">
        <v>1</v>
      </c>
      <c r="P13" s="25"/>
      <c r="Q13" s="41"/>
      <c r="R13" s="42"/>
      <c r="S13" s="43"/>
      <c r="T13" s="29">
        <v>21.19</v>
      </c>
      <c r="U13" s="29">
        <f t="shared" si="4"/>
        <v>21.19</v>
      </c>
      <c r="V13" s="29">
        <f t="shared" si="1"/>
        <v>21.19</v>
      </c>
      <c r="W13" s="29">
        <f t="shared" si="2"/>
        <v>3.8142</v>
      </c>
      <c r="X13" s="29">
        <f t="shared" si="3"/>
        <v>25.004200000000001</v>
      </c>
      <c r="Y13" s="44"/>
    </row>
    <row r="14" spans="1:25" ht="31.2">
      <c r="A14" s="37">
        <v>44568</v>
      </c>
      <c r="B14" s="35" t="s">
        <v>284</v>
      </c>
      <c r="C14" s="35" t="s">
        <v>21</v>
      </c>
      <c r="D14" s="36" t="s">
        <v>22</v>
      </c>
      <c r="E14" s="35">
        <v>1</v>
      </c>
      <c r="F14" s="35" t="s">
        <v>24</v>
      </c>
      <c r="G14" s="35">
        <v>4</v>
      </c>
      <c r="H14" s="35" t="s">
        <v>28</v>
      </c>
      <c r="I14" s="31" t="s">
        <v>38</v>
      </c>
      <c r="J14" s="32"/>
      <c r="K14" s="37"/>
      <c r="L14" s="38">
        <v>44568</v>
      </c>
      <c r="M14" s="39"/>
      <c r="N14" s="40" t="s">
        <v>44</v>
      </c>
      <c r="O14" s="39">
        <v>1</v>
      </c>
      <c r="P14" s="25"/>
      <c r="Q14" s="41" t="s">
        <v>27</v>
      </c>
      <c r="R14" s="42"/>
      <c r="S14" s="43"/>
      <c r="T14" s="29">
        <v>16.53</v>
      </c>
      <c r="U14" s="29">
        <f t="shared" si="4"/>
        <v>16.53</v>
      </c>
      <c r="V14" s="29">
        <f t="shared" si="1"/>
        <v>16.53</v>
      </c>
      <c r="W14" s="29">
        <f t="shared" si="2"/>
        <v>2.9754</v>
      </c>
      <c r="X14" s="29">
        <f t="shared" si="3"/>
        <v>19.505400000000002</v>
      </c>
      <c r="Y14" s="44"/>
    </row>
    <row r="15" spans="1:25" ht="46.8">
      <c r="A15" s="37">
        <v>44571</v>
      </c>
      <c r="B15" s="35" t="s">
        <v>285</v>
      </c>
      <c r="C15" s="35" t="s">
        <v>21</v>
      </c>
      <c r="D15" s="36" t="s">
        <v>22</v>
      </c>
      <c r="E15" s="35">
        <v>1</v>
      </c>
      <c r="F15" s="35" t="s">
        <v>24</v>
      </c>
      <c r="G15" s="35">
        <v>1</v>
      </c>
      <c r="H15" s="35" t="s">
        <v>28</v>
      </c>
      <c r="I15" s="31" t="s">
        <v>45</v>
      </c>
      <c r="J15" s="32"/>
      <c r="K15" s="37"/>
      <c r="L15" s="38">
        <v>44571</v>
      </c>
      <c r="M15" s="39"/>
      <c r="N15" s="40" t="s">
        <v>46</v>
      </c>
      <c r="O15" s="39">
        <v>1</v>
      </c>
      <c r="P15" s="25"/>
      <c r="Q15" s="41" t="s">
        <v>27</v>
      </c>
      <c r="R15" s="42"/>
      <c r="S15" s="43"/>
      <c r="T15" s="29">
        <v>10.17</v>
      </c>
      <c r="U15" s="29">
        <f t="shared" si="4"/>
        <v>10.17</v>
      </c>
      <c r="V15" s="29">
        <f t="shared" si="1"/>
        <v>10.17</v>
      </c>
      <c r="W15" s="29">
        <f t="shared" si="2"/>
        <v>1.8306</v>
      </c>
      <c r="X15" s="29">
        <f t="shared" si="3"/>
        <v>12.0006</v>
      </c>
      <c r="Y15" s="44"/>
    </row>
    <row r="16" spans="1:25" ht="93.6">
      <c r="A16" s="37">
        <v>44571</v>
      </c>
      <c r="B16" s="35" t="s">
        <v>285</v>
      </c>
      <c r="C16" s="35" t="s">
        <v>21</v>
      </c>
      <c r="D16" s="36" t="s">
        <v>22</v>
      </c>
      <c r="E16" s="35">
        <v>1</v>
      </c>
      <c r="F16" s="35" t="s">
        <v>24</v>
      </c>
      <c r="G16" s="35">
        <v>1</v>
      </c>
      <c r="H16" s="35" t="s">
        <v>47</v>
      </c>
      <c r="I16" s="31" t="s">
        <v>25</v>
      </c>
      <c r="J16" s="32"/>
      <c r="K16" s="37"/>
      <c r="L16" s="38">
        <v>44571</v>
      </c>
      <c r="M16" s="39"/>
      <c r="N16" s="40" t="s">
        <v>46</v>
      </c>
      <c r="O16" s="39">
        <v>1</v>
      </c>
      <c r="P16" s="25"/>
      <c r="Q16" s="41" t="s">
        <v>27</v>
      </c>
      <c r="R16" s="42"/>
      <c r="S16" s="43"/>
      <c r="T16" s="29">
        <v>29.24</v>
      </c>
      <c r="U16" s="29">
        <f t="shared" si="4"/>
        <v>29.24</v>
      </c>
      <c r="V16" s="29">
        <f t="shared" si="1"/>
        <v>29.24</v>
      </c>
      <c r="W16" s="29">
        <f t="shared" si="2"/>
        <v>5.2631999999999994</v>
      </c>
      <c r="X16" s="29">
        <f t="shared" si="3"/>
        <v>34.5032</v>
      </c>
      <c r="Y16" s="44"/>
    </row>
    <row r="17" spans="1:25" ht="31.2">
      <c r="A17" s="37">
        <v>44571</v>
      </c>
      <c r="B17" s="35" t="s">
        <v>285</v>
      </c>
      <c r="C17" s="35" t="s">
        <v>21</v>
      </c>
      <c r="D17" s="36" t="s">
        <v>22</v>
      </c>
      <c r="E17" s="35">
        <v>1</v>
      </c>
      <c r="F17" s="35" t="s">
        <v>24</v>
      </c>
      <c r="G17" s="35">
        <v>4</v>
      </c>
      <c r="H17" s="35" t="s">
        <v>28</v>
      </c>
      <c r="I17" s="31" t="s">
        <v>48</v>
      </c>
      <c r="J17" s="32"/>
      <c r="K17" s="37"/>
      <c r="L17" s="38">
        <v>44571</v>
      </c>
      <c r="M17" s="39"/>
      <c r="N17" s="40" t="s">
        <v>46</v>
      </c>
      <c r="O17" s="39">
        <v>1</v>
      </c>
      <c r="P17" s="25"/>
      <c r="Q17" s="41" t="s">
        <v>27</v>
      </c>
      <c r="R17" s="42"/>
      <c r="S17" s="43"/>
      <c r="T17" s="29">
        <v>72.034000000000006</v>
      </c>
      <c r="U17" s="29">
        <f t="shared" si="4"/>
        <v>72.034000000000006</v>
      </c>
      <c r="V17" s="29">
        <f t="shared" si="1"/>
        <v>72.034000000000006</v>
      </c>
      <c r="W17" s="29">
        <f t="shared" si="2"/>
        <v>12.96612</v>
      </c>
      <c r="X17" s="29">
        <f t="shared" si="3"/>
        <v>85.00012000000001</v>
      </c>
      <c r="Y17" s="44"/>
    </row>
    <row r="18" spans="1:25" ht="31.2">
      <c r="A18" s="37">
        <v>44571</v>
      </c>
      <c r="B18" s="35" t="s">
        <v>285</v>
      </c>
      <c r="C18" s="35" t="s">
        <v>21</v>
      </c>
      <c r="D18" s="36" t="s">
        <v>22</v>
      </c>
      <c r="E18" s="35">
        <v>2</v>
      </c>
      <c r="F18" s="35" t="s">
        <v>24</v>
      </c>
      <c r="G18" s="35">
        <v>4</v>
      </c>
      <c r="H18" s="35" t="s">
        <v>28</v>
      </c>
      <c r="I18" s="31" t="s">
        <v>49</v>
      </c>
      <c r="J18" s="32"/>
      <c r="K18" s="37"/>
      <c r="L18" s="38">
        <v>44571</v>
      </c>
      <c r="M18" s="39"/>
      <c r="N18" s="40" t="s">
        <v>46</v>
      </c>
      <c r="O18" s="39">
        <v>1</v>
      </c>
      <c r="P18" s="25"/>
      <c r="Q18" s="41" t="s">
        <v>27</v>
      </c>
      <c r="R18" s="42"/>
      <c r="S18" s="43"/>
      <c r="T18" s="29">
        <v>72.034000000000006</v>
      </c>
      <c r="U18" s="29">
        <f t="shared" si="4"/>
        <v>144.06800000000001</v>
      </c>
      <c r="V18" s="29">
        <f t="shared" si="1"/>
        <v>144.06800000000001</v>
      </c>
      <c r="W18" s="29">
        <f t="shared" si="2"/>
        <v>25.93224</v>
      </c>
      <c r="X18" s="29">
        <f t="shared" si="3"/>
        <v>170.00024000000002</v>
      </c>
      <c r="Y18" s="44"/>
    </row>
    <row r="19" spans="1:25" ht="46.8">
      <c r="A19" s="37">
        <v>44571</v>
      </c>
      <c r="B19" s="35" t="s">
        <v>285</v>
      </c>
      <c r="C19" s="35" t="s">
        <v>21</v>
      </c>
      <c r="D19" s="36" t="s">
        <v>22</v>
      </c>
      <c r="E19" s="35">
        <v>1</v>
      </c>
      <c r="F19" s="35" t="s">
        <v>24</v>
      </c>
      <c r="G19" s="35">
        <v>4</v>
      </c>
      <c r="H19" s="35" t="s">
        <v>28</v>
      </c>
      <c r="I19" s="31" t="s">
        <v>50</v>
      </c>
      <c r="J19" s="32"/>
      <c r="K19" s="37"/>
      <c r="L19" s="38">
        <v>44571</v>
      </c>
      <c r="M19" s="39"/>
      <c r="N19" s="40" t="s">
        <v>46</v>
      </c>
      <c r="O19" s="39">
        <v>1</v>
      </c>
      <c r="P19" s="25"/>
      <c r="Q19" s="41" t="s">
        <v>27</v>
      </c>
      <c r="R19" s="42"/>
      <c r="S19" s="43"/>
      <c r="T19" s="29">
        <v>16.95</v>
      </c>
      <c r="U19" s="29">
        <f t="shared" si="4"/>
        <v>16.95</v>
      </c>
      <c r="V19" s="29">
        <f t="shared" si="1"/>
        <v>16.95</v>
      </c>
      <c r="W19" s="29">
        <f t="shared" si="2"/>
        <v>3.0509999999999997</v>
      </c>
      <c r="X19" s="29">
        <f t="shared" si="3"/>
        <v>20.000999999999998</v>
      </c>
      <c r="Y19" s="44"/>
    </row>
    <row r="20" spans="1:25" ht="31.2">
      <c r="A20" s="37">
        <v>44571</v>
      </c>
      <c r="B20" s="35" t="s">
        <v>285</v>
      </c>
      <c r="C20" s="35" t="s">
        <v>21</v>
      </c>
      <c r="D20" s="36" t="s">
        <v>22</v>
      </c>
      <c r="E20" s="35">
        <v>1</v>
      </c>
      <c r="F20" s="35" t="s">
        <v>24</v>
      </c>
      <c r="G20" s="35">
        <v>0.5</v>
      </c>
      <c r="H20" s="35" t="s">
        <v>28</v>
      </c>
      <c r="I20" s="31" t="s">
        <v>51</v>
      </c>
      <c r="J20" s="32"/>
      <c r="K20" s="37"/>
      <c r="L20" s="38">
        <v>44571</v>
      </c>
      <c r="M20" s="39"/>
      <c r="N20" s="40" t="s">
        <v>46</v>
      </c>
      <c r="O20" s="39">
        <v>1</v>
      </c>
      <c r="P20" s="25"/>
      <c r="Q20" s="41" t="s">
        <v>27</v>
      </c>
      <c r="R20" s="42"/>
      <c r="S20" s="43"/>
      <c r="T20" s="29">
        <v>6.78</v>
      </c>
      <c r="U20" s="29">
        <f t="shared" si="4"/>
        <v>6.78</v>
      </c>
      <c r="V20" s="29">
        <f t="shared" si="1"/>
        <v>6.78</v>
      </c>
      <c r="W20" s="29">
        <f t="shared" si="2"/>
        <v>1.2203999999999999</v>
      </c>
      <c r="X20" s="29">
        <f t="shared" si="3"/>
        <v>8.0004000000000008</v>
      </c>
      <c r="Y20" s="44"/>
    </row>
    <row r="21" spans="1:25" ht="31.2">
      <c r="A21" s="37">
        <v>44571</v>
      </c>
      <c r="B21" s="35" t="s">
        <v>285</v>
      </c>
      <c r="C21" s="35" t="s">
        <v>21</v>
      </c>
      <c r="D21" s="36" t="s">
        <v>22</v>
      </c>
      <c r="E21" s="35">
        <v>2</v>
      </c>
      <c r="F21" s="35" t="s">
        <v>24</v>
      </c>
      <c r="G21" s="35">
        <v>0.5</v>
      </c>
      <c r="H21" s="35" t="s">
        <v>28</v>
      </c>
      <c r="I21" s="31" t="s">
        <v>52</v>
      </c>
      <c r="J21" s="32"/>
      <c r="K21" s="37"/>
      <c r="L21" s="38">
        <v>44571</v>
      </c>
      <c r="M21" s="39"/>
      <c r="N21" s="40" t="s">
        <v>46</v>
      </c>
      <c r="O21" s="39">
        <v>1</v>
      </c>
      <c r="P21" s="25"/>
      <c r="Q21" s="41" t="s">
        <v>27</v>
      </c>
      <c r="R21" s="42"/>
      <c r="S21" s="43"/>
      <c r="T21" s="29">
        <v>6.78</v>
      </c>
      <c r="U21" s="29">
        <f t="shared" si="4"/>
        <v>13.56</v>
      </c>
      <c r="V21" s="29">
        <f t="shared" si="1"/>
        <v>13.56</v>
      </c>
      <c r="W21" s="29">
        <f t="shared" si="2"/>
        <v>2.4407999999999999</v>
      </c>
      <c r="X21" s="29">
        <f t="shared" si="3"/>
        <v>16.000800000000002</v>
      </c>
      <c r="Y21" s="44"/>
    </row>
    <row r="22" spans="1:25" ht="93.6">
      <c r="A22" s="37">
        <v>44571</v>
      </c>
      <c r="B22" s="35" t="s">
        <v>286</v>
      </c>
      <c r="C22" s="35" t="s">
        <v>21</v>
      </c>
      <c r="D22" s="36" t="s">
        <v>22</v>
      </c>
      <c r="E22" s="35">
        <v>1</v>
      </c>
      <c r="F22" s="35" t="s">
        <v>24</v>
      </c>
      <c r="G22" s="35">
        <v>1</v>
      </c>
      <c r="H22" s="35" t="s">
        <v>32</v>
      </c>
      <c r="I22" s="31" t="s">
        <v>33</v>
      </c>
      <c r="J22" s="32"/>
      <c r="K22" s="37"/>
      <c r="L22" s="38">
        <v>44571</v>
      </c>
      <c r="M22" s="39"/>
      <c r="N22" s="40" t="s">
        <v>53</v>
      </c>
      <c r="O22" s="39">
        <v>1</v>
      </c>
      <c r="P22" s="25"/>
      <c r="Q22" s="41" t="s">
        <v>27</v>
      </c>
      <c r="R22" s="42">
        <v>16.95</v>
      </c>
      <c r="S22" s="43"/>
      <c r="T22" s="29">
        <v>118.64</v>
      </c>
      <c r="U22" s="29">
        <f t="shared" si="4"/>
        <v>101.69</v>
      </c>
      <c r="V22" s="29">
        <f t="shared" si="1"/>
        <v>101.69</v>
      </c>
      <c r="W22" s="29">
        <f t="shared" si="2"/>
        <v>18.304199999999998</v>
      </c>
      <c r="X22" s="29">
        <f t="shared" si="3"/>
        <v>119.99419999999999</v>
      </c>
      <c r="Y22" s="44"/>
    </row>
    <row r="23" spans="1:25" ht="15.6">
      <c r="A23" s="37">
        <v>44571</v>
      </c>
      <c r="B23" s="35" t="s">
        <v>287</v>
      </c>
      <c r="C23" s="35" t="s">
        <v>21</v>
      </c>
      <c r="D23" s="36" t="s">
        <v>22</v>
      </c>
      <c r="E23" s="35">
        <v>1</v>
      </c>
      <c r="F23" s="35" t="s">
        <v>24</v>
      </c>
      <c r="G23" s="35">
        <v>4</v>
      </c>
      <c r="H23" s="35" t="s">
        <v>28</v>
      </c>
      <c r="I23" s="31" t="s">
        <v>54</v>
      </c>
      <c r="J23" s="32"/>
      <c r="K23" s="37"/>
      <c r="L23" s="38">
        <v>44571</v>
      </c>
      <c r="M23" s="39"/>
      <c r="N23" s="40" t="s">
        <v>55</v>
      </c>
      <c r="O23" s="39">
        <v>1</v>
      </c>
      <c r="P23" s="25"/>
      <c r="Q23" s="41" t="s">
        <v>27</v>
      </c>
      <c r="R23" s="42"/>
      <c r="S23" s="43"/>
      <c r="T23" s="29">
        <v>31.36</v>
      </c>
      <c r="U23" s="29">
        <f t="shared" si="4"/>
        <v>31.36</v>
      </c>
      <c r="V23" s="29">
        <f t="shared" si="1"/>
        <v>31.36</v>
      </c>
      <c r="W23" s="29">
        <f t="shared" si="2"/>
        <v>5.6448</v>
      </c>
      <c r="X23" s="29">
        <f t="shared" si="3"/>
        <v>37.004800000000003</v>
      </c>
      <c r="Y23" s="44"/>
    </row>
    <row r="24" spans="1:25" ht="15.6">
      <c r="A24" s="37">
        <v>44571</v>
      </c>
      <c r="B24" s="35" t="s">
        <v>287</v>
      </c>
      <c r="C24" s="35" t="s">
        <v>21</v>
      </c>
      <c r="D24" s="36" t="s">
        <v>22</v>
      </c>
      <c r="E24" s="18">
        <v>1</v>
      </c>
      <c r="F24" s="35" t="s">
        <v>24</v>
      </c>
      <c r="G24" s="23">
        <v>1</v>
      </c>
      <c r="H24" s="23" t="s">
        <v>28</v>
      </c>
      <c r="I24" s="45" t="s">
        <v>54</v>
      </c>
      <c r="J24" s="20"/>
      <c r="K24" s="46"/>
      <c r="L24" s="38">
        <v>44571</v>
      </c>
      <c r="M24" s="39"/>
      <c r="N24" s="40" t="s">
        <v>55</v>
      </c>
      <c r="O24" s="39">
        <v>1</v>
      </c>
      <c r="P24" s="25"/>
      <c r="Q24" s="41" t="s">
        <v>27</v>
      </c>
      <c r="R24" s="47"/>
      <c r="S24" s="48"/>
      <c r="T24" s="29">
        <v>10.17</v>
      </c>
      <c r="U24" s="29">
        <f t="shared" si="4"/>
        <v>10.17</v>
      </c>
      <c r="V24" s="29">
        <f t="shared" si="1"/>
        <v>10.17</v>
      </c>
      <c r="W24" s="29">
        <f t="shared" si="2"/>
        <v>1.8306</v>
      </c>
      <c r="X24" s="29">
        <f t="shared" si="3"/>
        <v>12.0006</v>
      </c>
      <c r="Y24" s="24"/>
    </row>
    <row r="25" spans="1:25" ht="62.4">
      <c r="A25" s="37">
        <v>44571</v>
      </c>
      <c r="B25" s="35" t="s">
        <v>287</v>
      </c>
      <c r="C25" s="35" t="s">
        <v>21</v>
      </c>
      <c r="D25" s="36" t="s">
        <v>22</v>
      </c>
      <c r="E25" s="18">
        <v>1</v>
      </c>
      <c r="F25" s="35" t="s">
        <v>24</v>
      </c>
      <c r="G25" s="23">
        <v>1</v>
      </c>
      <c r="H25" s="23" t="s">
        <v>28</v>
      </c>
      <c r="I25" s="45" t="s">
        <v>29</v>
      </c>
      <c r="J25" s="20"/>
      <c r="K25" s="46"/>
      <c r="L25" s="38">
        <v>44571</v>
      </c>
      <c r="M25" s="39"/>
      <c r="N25" s="40" t="s">
        <v>55</v>
      </c>
      <c r="O25" s="39">
        <v>1</v>
      </c>
      <c r="P25" s="25"/>
      <c r="Q25" s="41" t="s">
        <v>27</v>
      </c>
      <c r="R25" s="47"/>
      <c r="S25" s="48"/>
      <c r="T25" s="29">
        <v>10.17</v>
      </c>
      <c r="U25" s="29">
        <f t="shared" si="4"/>
        <v>10.17</v>
      </c>
      <c r="V25" s="29">
        <f t="shared" si="1"/>
        <v>10.17</v>
      </c>
      <c r="W25" s="29">
        <f t="shared" si="2"/>
        <v>1.8306</v>
      </c>
      <c r="X25" s="29">
        <f t="shared" si="3"/>
        <v>12.0006</v>
      </c>
      <c r="Y25" s="24"/>
    </row>
    <row r="26" spans="1:25" ht="31.2">
      <c r="A26" s="37">
        <v>44571</v>
      </c>
      <c r="B26" s="35" t="s">
        <v>287</v>
      </c>
      <c r="C26" s="35" t="s">
        <v>21</v>
      </c>
      <c r="D26" s="36" t="s">
        <v>22</v>
      </c>
      <c r="E26" s="18">
        <v>1</v>
      </c>
      <c r="F26" s="35" t="s">
        <v>24</v>
      </c>
      <c r="G26" s="23">
        <v>1</v>
      </c>
      <c r="H26" s="23" t="s">
        <v>28</v>
      </c>
      <c r="I26" s="45" t="s">
        <v>31</v>
      </c>
      <c r="J26" s="20"/>
      <c r="K26" s="46"/>
      <c r="L26" s="38">
        <v>44571</v>
      </c>
      <c r="M26" s="39"/>
      <c r="N26" s="40" t="s">
        <v>55</v>
      </c>
      <c r="O26" s="39">
        <v>1</v>
      </c>
      <c r="P26" s="25"/>
      <c r="Q26" s="41" t="s">
        <v>27</v>
      </c>
      <c r="R26" s="47"/>
      <c r="S26" s="48"/>
      <c r="T26" s="29">
        <v>8.0500000000000007</v>
      </c>
      <c r="U26" s="29">
        <f t="shared" si="4"/>
        <v>8.0500000000000007</v>
      </c>
      <c r="V26" s="29">
        <f t="shared" si="1"/>
        <v>8.0500000000000007</v>
      </c>
      <c r="W26" s="29">
        <f t="shared" si="2"/>
        <v>1.4490000000000001</v>
      </c>
      <c r="X26" s="29">
        <f t="shared" si="3"/>
        <v>9.4990000000000006</v>
      </c>
      <c r="Y26" s="24"/>
    </row>
    <row r="27" spans="1:25" ht="31.2">
      <c r="A27" s="37">
        <v>44571</v>
      </c>
      <c r="B27" s="35" t="s">
        <v>287</v>
      </c>
      <c r="C27" s="35" t="s">
        <v>21</v>
      </c>
      <c r="D27" s="36" t="s">
        <v>22</v>
      </c>
      <c r="E27" s="18">
        <v>1</v>
      </c>
      <c r="F27" s="35" t="s">
        <v>24</v>
      </c>
      <c r="G27" s="23">
        <v>4</v>
      </c>
      <c r="H27" s="23" t="s">
        <v>28</v>
      </c>
      <c r="I27" s="45" t="s">
        <v>31</v>
      </c>
      <c r="J27" s="20"/>
      <c r="K27" s="46"/>
      <c r="L27" s="38">
        <v>44571</v>
      </c>
      <c r="M27" s="39"/>
      <c r="N27" s="40" t="s">
        <v>55</v>
      </c>
      <c r="O27" s="39">
        <v>1</v>
      </c>
      <c r="P27" s="25"/>
      <c r="Q27" s="41" t="s">
        <v>27</v>
      </c>
      <c r="R27" s="47"/>
      <c r="S27" s="48"/>
      <c r="T27" s="29">
        <v>21.19</v>
      </c>
      <c r="U27" s="29">
        <f t="shared" si="4"/>
        <v>21.19</v>
      </c>
      <c r="V27" s="29">
        <f t="shared" si="1"/>
        <v>21.19</v>
      </c>
      <c r="W27" s="29">
        <f t="shared" si="2"/>
        <v>3.8142</v>
      </c>
      <c r="X27" s="29">
        <f t="shared" si="3"/>
        <v>25.004200000000001</v>
      </c>
      <c r="Y27" s="24"/>
    </row>
    <row r="28" spans="1:25" ht="31.2">
      <c r="A28" s="89">
        <v>44571</v>
      </c>
      <c r="B28" s="16" t="s">
        <v>288</v>
      </c>
      <c r="C28" s="18" t="s">
        <v>21</v>
      </c>
      <c r="D28" s="18" t="s">
        <v>22</v>
      </c>
      <c r="E28" s="18">
        <v>1</v>
      </c>
      <c r="F28" s="18" t="s">
        <v>24</v>
      </c>
      <c r="G28" s="23">
        <v>4</v>
      </c>
      <c r="H28" s="23" t="s">
        <v>28</v>
      </c>
      <c r="I28" s="45" t="s">
        <v>51</v>
      </c>
      <c r="J28" s="20"/>
      <c r="K28" s="46"/>
      <c r="L28" s="49">
        <v>44571</v>
      </c>
      <c r="M28" s="50"/>
      <c r="N28" s="51" t="s">
        <v>56</v>
      </c>
      <c r="O28" s="52">
        <v>1</v>
      </c>
      <c r="P28" s="25"/>
      <c r="Q28" s="53" t="s">
        <v>27</v>
      </c>
      <c r="R28" s="47"/>
      <c r="S28" s="48"/>
      <c r="T28" s="29">
        <v>16.95</v>
      </c>
      <c r="U28" s="29">
        <f t="shared" si="4"/>
        <v>16.95</v>
      </c>
      <c r="V28" s="29">
        <f t="shared" si="1"/>
        <v>16.95</v>
      </c>
      <c r="W28" s="29">
        <f t="shared" si="2"/>
        <v>3.0509999999999997</v>
      </c>
      <c r="X28" s="29">
        <f t="shared" si="3"/>
        <v>20.000999999999998</v>
      </c>
      <c r="Y28" s="24"/>
    </row>
    <row r="29" spans="1:25" ht="31.2">
      <c r="A29" s="89">
        <v>44571</v>
      </c>
      <c r="B29" s="16" t="s">
        <v>288</v>
      </c>
      <c r="C29" s="18" t="s">
        <v>21</v>
      </c>
      <c r="D29" s="18" t="s">
        <v>22</v>
      </c>
      <c r="E29" s="18">
        <v>1</v>
      </c>
      <c r="F29" s="18" t="s">
        <v>24</v>
      </c>
      <c r="G29" s="23">
        <v>4</v>
      </c>
      <c r="H29" s="23" t="s">
        <v>28</v>
      </c>
      <c r="I29" s="45" t="s">
        <v>57</v>
      </c>
      <c r="J29" s="20"/>
      <c r="K29" s="46"/>
      <c r="L29" s="49">
        <v>44571</v>
      </c>
      <c r="M29" s="50"/>
      <c r="N29" s="51" t="s">
        <v>56</v>
      </c>
      <c r="O29" s="52">
        <v>1</v>
      </c>
      <c r="P29" s="25"/>
      <c r="Q29" s="53" t="s">
        <v>27</v>
      </c>
      <c r="R29" s="47"/>
      <c r="S29" s="48"/>
      <c r="T29" s="29">
        <v>16.95</v>
      </c>
      <c r="U29" s="29">
        <f t="shared" si="4"/>
        <v>16.95</v>
      </c>
      <c r="V29" s="29">
        <f t="shared" si="1"/>
        <v>16.95</v>
      </c>
      <c r="W29" s="29">
        <f t="shared" si="2"/>
        <v>3.0509999999999997</v>
      </c>
      <c r="X29" s="29">
        <f t="shared" si="3"/>
        <v>20.000999999999998</v>
      </c>
      <c r="Y29" s="24"/>
    </row>
    <row r="30" spans="1:25" ht="31.2">
      <c r="A30" s="89">
        <v>44571</v>
      </c>
      <c r="B30" s="16" t="s">
        <v>288</v>
      </c>
      <c r="C30" s="18" t="s">
        <v>21</v>
      </c>
      <c r="D30" s="18" t="s">
        <v>22</v>
      </c>
      <c r="E30" s="18">
        <v>1</v>
      </c>
      <c r="F30" s="18" t="s">
        <v>24</v>
      </c>
      <c r="G30" s="23">
        <v>1</v>
      </c>
      <c r="H30" s="23" t="s">
        <v>28</v>
      </c>
      <c r="I30" s="45" t="s">
        <v>49</v>
      </c>
      <c r="J30" s="20"/>
      <c r="K30" s="46"/>
      <c r="L30" s="49">
        <v>44571</v>
      </c>
      <c r="M30" s="50"/>
      <c r="N30" s="51" t="s">
        <v>56</v>
      </c>
      <c r="O30" s="52">
        <v>1</v>
      </c>
      <c r="P30" s="25"/>
      <c r="Q30" s="53" t="s">
        <v>27</v>
      </c>
      <c r="R30" s="47">
        <v>21.19</v>
      </c>
      <c r="S30" s="48"/>
      <c r="T30" s="29">
        <v>21.19</v>
      </c>
      <c r="U30" s="29">
        <f t="shared" si="4"/>
        <v>0</v>
      </c>
      <c r="V30" s="29">
        <f t="shared" si="1"/>
        <v>0</v>
      </c>
      <c r="W30" s="29">
        <f t="shared" si="2"/>
        <v>0</v>
      </c>
      <c r="X30" s="29">
        <f t="shared" si="3"/>
        <v>0</v>
      </c>
      <c r="Y30" s="24"/>
    </row>
    <row r="31" spans="1:25" ht="46.8">
      <c r="A31" s="22">
        <v>44207</v>
      </c>
      <c r="B31" s="18" t="s">
        <v>289</v>
      </c>
      <c r="C31" s="18" t="s">
        <v>21</v>
      </c>
      <c r="D31" s="18" t="s">
        <v>22</v>
      </c>
      <c r="E31" s="23">
        <v>1</v>
      </c>
      <c r="F31" s="23" t="s">
        <v>24</v>
      </c>
      <c r="G31" s="23">
        <v>4</v>
      </c>
      <c r="H31" s="23" t="s">
        <v>28</v>
      </c>
      <c r="I31" s="19" t="s">
        <v>45</v>
      </c>
      <c r="J31" s="20"/>
      <c r="K31" s="46"/>
      <c r="L31" s="49">
        <v>44572</v>
      </c>
      <c r="M31" s="50"/>
      <c r="N31" s="51" t="s">
        <v>58</v>
      </c>
      <c r="O31" s="52">
        <v>1</v>
      </c>
      <c r="P31" s="25"/>
      <c r="Q31" s="54" t="s">
        <v>27</v>
      </c>
      <c r="R31" s="27"/>
      <c r="S31" s="28"/>
      <c r="T31" s="29">
        <v>34.75</v>
      </c>
      <c r="U31" s="29">
        <f t="shared" si="4"/>
        <v>34.75</v>
      </c>
      <c r="V31" s="29">
        <f t="shared" si="1"/>
        <v>34.75</v>
      </c>
      <c r="W31" s="29">
        <f t="shared" si="2"/>
        <v>6.2549999999999999</v>
      </c>
      <c r="X31" s="29">
        <f t="shared" si="3"/>
        <v>41.005000000000003</v>
      </c>
      <c r="Y31" s="24"/>
    </row>
    <row r="32" spans="1:25" ht="31.2">
      <c r="A32" s="22">
        <v>44572</v>
      </c>
      <c r="B32" s="18" t="s">
        <v>290</v>
      </c>
      <c r="C32" s="18" t="s">
        <v>21</v>
      </c>
      <c r="D32" s="18" t="s">
        <v>22</v>
      </c>
      <c r="E32" s="23">
        <v>1</v>
      </c>
      <c r="F32" s="23" t="s">
        <v>24</v>
      </c>
      <c r="G32" s="23">
        <v>4</v>
      </c>
      <c r="H32" s="23" t="s">
        <v>28</v>
      </c>
      <c r="I32" s="19" t="s">
        <v>49</v>
      </c>
      <c r="J32" s="20"/>
      <c r="K32" s="46"/>
      <c r="L32" s="49">
        <v>44572</v>
      </c>
      <c r="M32" s="50"/>
      <c r="N32" s="51" t="s">
        <v>59</v>
      </c>
      <c r="O32" s="52">
        <v>1</v>
      </c>
      <c r="P32" s="25"/>
      <c r="Q32" s="54" t="s">
        <v>27</v>
      </c>
      <c r="R32" s="27"/>
      <c r="S32" s="28"/>
      <c r="T32" s="29">
        <v>72.034000000000006</v>
      </c>
      <c r="U32" s="29">
        <f t="shared" si="4"/>
        <v>72.034000000000006</v>
      </c>
      <c r="V32" s="29">
        <f t="shared" si="1"/>
        <v>72.034000000000006</v>
      </c>
      <c r="W32" s="29">
        <f t="shared" si="2"/>
        <v>12.96612</v>
      </c>
      <c r="X32" s="29">
        <f t="shared" si="3"/>
        <v>85.00012000000001</v>
      </c>
      <c r="Y32" s="24"/>
    </row>
    <row r="33" spans="1:25" ht="46.8">
      <c r="A33" s="89">
        <v>44572</v>
      </c>
      <c r="B33" s="18" t="s">
        <v>291</v>
      </c>
      <c r="C33" s="18" t="s">
        <v>21</v>
      </c>
      <c r="D33" s="18" t="s">
        <v>22</v>
      </c>
      <c r="E33" s="23">
        <v>1</v>
      </c>
      <c r="F33" s="23" t="s">
        <v>24</v>
      </c>
      <c r="G33" s="23">
        <v>4</v>
      </c>
      <c r="H33" s="23" t="s">
        <v>28</v>
      </c>
      <c r="I33" s="19" t="s">
        <v>60</v>
      </c>
      <c r="J33" s="20"/>
      <c r="K33" s="46"/>
      <c r="L33" s="49">
        <v>44572</v>
      </c>
      <c r="M33" s="50"/>
      <c r="N33" s="51">
        <v>44</v>
      </c>
      <c r="O33" s="52">
        <v>1</v>
      </c>
      <c r="P33" s="25"/>
      <c r="Q33" s="54" t="s">
        <v>27</v>
      </c>
      <c r="R33" s="27"/>
      <c r="S33" s="28"/>
      <c r="T33" s="29">
        <v>16.95</v>
      </c>
      <c r="U33" s="29">
        <f t="shared" si="4"/>
        <v>16.95</v>
      </c>
      <c r="V33" s="29">
        <f t="shared" si="1"/>
        <v>16.95</v>
      </c>
      <c r="W33" s="29">
        <f t="shared" si="2"/>
        <v>3.0509999999999997</v>
      </c>
      <c r="X33" s="29">
        <f t="shared" si="3"/>
        <v>20.000999999999998</v>
      </c>
      <c r="Y33" s="24"/>
    </row>
    <row r="34" spans="1:25" ht="31.2">
      <c r="A34" s="89">
        <v>44572</v>
      </c>
      <c r="B34" s="18" t="s">
        <v>292</v>
      </c>
      <c r="C34" s="18" t="s">
        <v>21</v>
      </c>
      <c r="D34" s="18" t="s">
        <v>22</v>
      </c>
      <c r="E34" s="23">
        <v>1</v>
      </c>
      <c r="F34" s="23" t="s">
        <v>24</v>
      </c>
      <c r="G34" s="23">
        <v>1</v>
      </c>
      <c r="H34" s="23" t="s">
        <v>28</v>
      </c>
      <c r="I34" s="19" t="s">
        <v>48</v>
      </c>
      <c r="J34" s="20"/>
      <c r="K34" s="46"/>
      <c r="L34" s="49">
        <v>44572</v>
      </c>
      <c r="M34" s="50"/>
      <c r="N34" s="51" t="s">
        <v>61</v>
      </c>
      <c r="O34" s="52">
        <v>1</v>
      </c>
      <c r="P34" s="25"/>
      <c r="Q34" s="54" t="s">
        <v>27</v>
      </c>
      <c r="R34" s="27"/>
      <c r="S34" s="28"/>
      <c r="T34" s="29">
        <v>21.19</v>
      </c>
      <c r="U34" s="29">
        <f t="shared" si="4"/>
        <v>21.19</v>
      </c>
      <c r="V34" s="29">
        <f t="shared" si="1"/>
        <v>21.19</v>
      </c>
      <c r="W34" s="29">
        <f t="shared" si="2"/>
        <v>3.8142</v>
      </c>
      <c r="X34" s="29">
        <f t="shared" si="3"/>
        <v>25.004200000000001</v>
      </c>
      <c r="Y34" s="24"/>
    </row>
    <row r="35" spans="1:25" ht="62.4">
      <c r="A35" s="89">
        <v>44573</v>
      </c>
      <c r="B35" s="30" t="s">
        <v>293</v>
      </c>
      <c r="C35" s="18" t="s">
        <v>21</v>
      </c>
      <c r="D35" s="18" t="s">
        <v>22</v>
      </c>
      <c r="E35" s="23">
        <v>1</v>
      </c>
      <c r="F35" s="23" t="s">
        <v>24</v>
      </c>
      <c r="G35" s="23">
        <v>4</v>
      </c>
      <c r="H35" s="23" t="s">
        <v>28</v>
      </c>
      <c r="I35" s="19" t="s">
        <v>29</v>
      </c>
      <c r="J35" s="20"/>
      <c r="K35" s="46"/>
      <c r="L35" s="49">
        <v>44573</v>
      </c>
      <c r="M35" s="50"/>
      <c r="N35" s="51">
        <v>46</v>
      </c>
      <c r="O35" s="52">
        <v>1</v>
      </c>
      <c r="P35" s="25"/>
      <c r="Q35" s="54" t="s">
        <v>27</v>
      </c>
      <c r="R35" s="27"/>
      <c r="S35" s="28"/>
      <c r="T35" s="29">
        <v>38.137999999999998</v>
      </c>
      <c r="U35" s="29">
        <f t="shared" si="4"/>
        <v>38.137999999999998</v>
      </c>
      <c r="V35" s="29">
        <f t="shared" si="1"/>
        <v>38.137999999999998</v>
      </c>
      <c r="W35" s="29">
        <f t="shared" si="2"/>
        <v>6.8648399999999992</v>
      </c>
      <c r="X35" s="29">
        <f t="shared" si="3"/>
        <v>45.002839999999999</v>
      </c>
      <c r="Y35" s="24"/>
    </row>
    <row r="36" spans="1:25" ht="31.2">
      <c r="A36" s="89">
        <v>44573</v>
      </c>
      <c r="B36" s="16" t="s">
        <v>294</v>
      </c>
      <c r="C36" s="18" t="s">
        <v>21</v>
      </c>
      <c r="D36" s="18" t="s">
        <v>22</v>
      </c>
      <c r="E36" s="23">
        <v>3</v>
      </c>
      <c r="F36" s="23" t="s">
        <v>24</v>
      </c>
      <c r="G36" s="23">
        <v>1</v>
      </c>
      <c r="H36" s="23" t="s">
        <v>28</v>
      </c>
      <c r="I36" s="19" t="s">
        <v>49</v>
      </c>
      <c r="J36" s="20"/>
      <c r="K36" s="46"/>
      <c r="L36" s="49">
        <v>44573</v>
      </c>
      <c r="M36" s="50"/>
      <c r="N36" s="51" t="s">
        <v>62</v>
      </c>
      <c r="O36" s="52">
        <v>1</v>
      </c>
      <c r="P36" s="25"/>
      <c r="Q36" s="54" t="s">
        <v>27</v>
      </c>
      <c r="R36" s="27"/>
      <c r="S36" s="28"/>
      <c r="T36" s="29">
        <v>21.185400000000001</v>
      </c>
      <c r="U36" s="29">
        <f t="shared" si="4"/>
        <v>63.556200000000004</v>
      </c>
      <c r="V36" s="29">
        <f t="shared" si="1"/>
        <v>63.556200000000004</v>
      </c>
      <c r="W36" s="29">
        <f t="shared" si="2"/>
        <v>11.440116</v>
      </c>
      <c r="X36" s="29">
        <f t="shared" si="3"/>
        <v>74.996316000000007</v>
      </c>
      <c r="Y36" s="24"/>
    </row>
    <row r="37" spans="1:25" ht="15.6">
      <c r="A37" s="89">
        <v>44573</v>
      </c>
      <c r="B37" s="16" t="s">
        <v>294</v>
      </c>
      <c r="C37" s="18" t="s">
        <v>21</v>
      </c>
      <c r="D37" s="18" t="s">
        <v>22</v>
      </c>
      <c r="E37" s="23">
        <v>1</v>
      </c>
      <c r="F37" s="23" t="s">
        <v>63</v>
      </c>
      <c r="G37" s="23">
        <v>1</v>
      </c>
      <c r="H37" s="23" t="s">
        <v>63</v>
      </c>
      <c r="I37" s="19" t="s">
        <v>64</v>
      </c>
      <c r="J37" s="20"/>
      <c r="K37" s="46"/>
      <c r="L37" s="49">
        <v>44573</v>
      </c>
      <c r="M37" s="50"/>
      <c r="N37" s="51" t="s">
        <v>62</v>
      </c>
      <c r="O37" s="52">
        <v>1</v>
      </c>
      <c r="P37" s="25"/>
      <c r="Q37" s="54" t="s">
        <v>27</v>
      </c>
      <c r="R37" s="27"/>
      <c r="S37" s="28"/>
      <c r="T37" s="29">
        <v>4.24</v>
      </c>
      <c r="U37" s="29">
        <f t="shared" si="4"/>
        <v>4.24</v>
      </c>
      <c r="V37" s="29">
        <f t="shared" si="1"/>
        <v>4.24</v>
      </c>
      <c r="W37" s="29">
        <f t="shared" si="2"/>
        <v>0.76319999999999999</v>
      </c>
      <c r="X37" s="29">
        <f t="shared" si="3"/>
        <v>5.0032000000000005</v>
      </c>
      <c r="Y37" s="24"/>
    </row>
    <row r="38" spans="1:25" ht="15.6">
      <c r="A38" s="89">
        <v>44573</v>
      </c>
      <c r="B38" s="16" t="s">
        <v>277</v>
      </c>
      <c r="C38" s="18" t="s">
        <v>21</v>
      </c>
      <c r="D38" s="18" t="s">
        <v>22</v>
      </c>
      <c r="E38" s="23">
        <v>1</v>
      </c>
      <c r="F38" s="23" t="s">
        <v>24</v>
      </c>
      <c r="G38" s="23">
        <v>1</v>
      </c>
      <c r="H38" s="23" t="s">
        <v>65</v>
      </c>
      <c r="I38" s="16" t="s">
        <v>66</v>
      </c>
      <c r="J38" s="20"/>
      <c r="K38" s="46"/>
      <c r="L38" s="49">
        <v>44573</v>
      </c>
      <c r="M38" s="50"/>
      <c r="N38" s="51" t="s">
        <v>67</v>
      </c>
      <c r="O38" s="52">
        <v>1</v>
      </c>
      <c r="P38" s="25"/>
      <c r="Q38" s="54" t="s">
        <v>27</v>
      </c>
      <c r="R38" s="27"/>
      <c r="S38" s="28"/>
      <c r="T38" s="29">
        <v>25.42</v>
      </c>
      <c r="U38" s="29">
        <f t="shared" si="4"/>
        <v>25.42</v>
      </c>
      <c r="V38" s="29">
        <f t="shared" si="1"/>
        <v>25.42</v>
      </c>
      <c r="W38" s="29">
        <f t="shared" si="2"/>
        <v>4.5756000000000006</v>
      </c>
      <c r="X38" s="29">
        <f t="shared" si="3"/>
        <v>29.995600000000003</v>
      </c>
      <c r="Y38" s="24"/>
    </row>
    <row r="39" spans="1:25" ht="15.6">
      <c r="A39" s="89">
        <v>44573</v>
      </c>
      <c r="B39" s="16" t="s">
        <v>295</v>
      </c>
      <c r="C39" s="18" t="s">
        <v>21</v>
      </c>
      <c r="D39" s="18" t="s">
        <v>22</v>
      </c>
      <c r="E39" s="23">
        <v>1</v>
      </c>
      <c r="F39" s="23" t="s">
        <v>24</v>
      </c>
      <c r="G39" s="23">
        <v>0.5</v>
      </c>
      <c r="H39" s="23" t="s">
        <v>28</v>
      </c>
      <c r="I39" s="16" t="s">
        <v>68</v>
      </c>
      <c r="J39" s="20"/>
      <c r="K39" s="46"/>
      <c r="L39" s="49">
        <v>44573</v>
      </c>
      <c r="M39" s="50"/>
      <c r="N39" s="51" t="s">
        <v>69</v>
      </c>
      <c r="O39" s="52">
        <v>1</v>
      </c>
      <c r="P39" s="25"/>
      <c r="Q39" s="54" t="s">
        <v>27</v>
      </c>
      <c r="R39" s="27"/>
      <c r="S39" s="28"/>
      <c r="T39" s="29">
        <v>6.78</v>
      </c>
      <c r="U39" s="29">
        <f t="shared" si="4"/>
        <v>6.78</v>
      </c>
      <c r="V39" s="29">
        <f t="shared" si="1"/>
        <v>6.78</v>
      </c>
      <c r="W39" s="29">
        <f t="shared" si="2"/>
        <v>1.2203999999999999</v>
      </c>
      <c r="X39" s="29">
        <f t="shared" si="3"/>
        <v>8.0004000000000008</v>
      </c>
      <c r="Y39" s="24"/>
    </row>
    <row r="40" spans="1:25" ht="15.6">
      <c r="A40" s="89">
        <v>44573</v>
      </c>
      <c r="B40" s="16" t="s">
        <v>295</v>
      </c>
      <c r="C40" s="18" t="s">
        <v>21</v>
      </c>
      <c r="D40" s="18" t="s">
        <v>22</v>
      </c>
      <c r="E40" s="23">
        <v>1</v>
      </c>
      <c r="F40" s="23" t="s">
        <v>24</v>
      </c>
      <c r="G40" s="23">
        <v>0.5</v>
      </c>
      <c r="H40" s="23" t="s">
        <v>28</v>
      </c>
      <c r="I40" s="16" t="s">
        <v>70</v>
      </c>
      <c r="J40" s="20"/>
      <c r="K40" s="46"/>
      <c r="L40" s="49">
        <v>44573</v>
      </c>
      <c r="M40" s="50"/>
      <c r="N40" s="51" t="s">
        <v>69</v>
      </c>
      <c r="O40" s="52">
        <v>1</v>
      </c>
      <c r="P40" s="25"/>
      <c r="Q40" s="54" t="s">
        <v>27</v>
      </c>
      <c r="R40" s="27"/>
      <c r="S40" s="28"/>
      <c r="T40" s="29">
        <v>6.78</v>
      </c>
      <c r="U40" s="29">
        <f t="shared" si="4"/>
        <v>6.78</v>
      </c>
      <c r="V40" s="29">
        <f t="shared" si="1"/>
        <v>6.78</v>
      </c>
      <c r="W40" s="29">
        <f t="shared" si="2"/>
        <v>1.2203999999999999</v>
      </c>
      <c r="X40" s="29">
        <f t="shared" si="3"/>
        <v>8.0004000000000008</v>
      </c>
      <c r="Y40" s="24"/>
    </row>
    <row r="41" spans="1:25" ht="15.6">
      <c r="A41" s="89">
        <v>44573</v>
      </c>
      <c r="B41" s="16" t="s">
        <v>295</v>
      </c>
      <c r="C41" s="18" t="s">
        <v>21</v>
      </c>
      <c r="D41" s="18" t="s">
        <v>22</v>
      </c>
      <c r="E41" s="23">
        <v>1</v>
      </c>
      <c r="F41" s="23" t="s">
        <v>24</v>
      </c>
      <c r="G41" s="23">
        <v>4</v>
      </c>
      <c r="H41" s="23" t="s">
        <v>28</v>
      </c>
      <c r="I41" s="16" t="s">
        <v>71</v>
      </c>
      <c r="J41" s="20"/>
      <c r="K41" s="46"/>
      <c r="L41" s="49">
        <v>44573</v>
      </c>
      <c r="M41" s="50"/>
      <c r="N41" s="51" t="s">
        <v>69</v>
      </c>
      <c r="O41" s="52">
        <v>1</v>
      </c>
      <c r="P41" s="25"/>
      <c r="Q41" s="54" t="s">
        <v>27</v>
      </c>
      <c r="R41" s="27"/>
      <c r="S41" s="28"/>
      <c r="T41" s="29">
        <v>16.95</v>
      </c>
      <c r="U41" s="29">
        <f t="shared" si="4"/>
        <v>16.95</v>
      </c>
      <c r="V41" s="29">
        <f t="shared" si="1"/>
        <v>16.95</v>
      </c>
      <c r="W41" s="29">
        <f t="shared" si="2"/>
        <v>3.0509999999999997</v>
      </c>
      <c r="X41" s="29">
        <f t="shared" si="3"/>
        <v>20.000999999999998</v>
      </c>
      <c r="Y41" s="24"/>
    </row>
    <row r="42" spans="1:25" ht="15.6">
      <c r="A42" s="89">
        <v>44573</v>
      </c>
      <c r="B42" s="16" t="s">
        <v>295</v>
      </c>
      <c r="C42" s="18" t="s">
        <v>21</v>
      </c>
      <c r="D42" s="18" t="s">
        <v>22</v>
      </c>
      <c r="E42" s="23">
        <v>1</v>
      </c>
      <c r="F42" s="23" t="s">
        <v>24</v>
      </c>
      <c r="G42" s="23">
        <v>0.5</v>
      </c>
      <c r="H42" s="23" t="s">
        <v>28</v>
      </c>
      <c r="I42" s="16" t="s">
        <v>71</v>
      </c>
      <c r="J42" s="20"/>
      <c r="K42" s="46"/>
      <c r="L42" s="49">
        <v>44573</v>
      </c>
      <c r="M42" s="50"/>
      <c r="N42" s="51" t="s">
        <v>69</v>
      </c>
      <c r="O42" s="52">
        <v>1</v>
      </c>
      <c r="P42" s="25"/>
      <c r="Q42" s="54" t="s">
        <v>27</v>
      </c>
      <c r="R42" s="27"/>
      <c r="S42" s="28"/>
      <c r="T42" s="29">
        <v>4.24</v>
      </c>
      <c r="U42" s="29">
        <f t="shared" si="4"/>
        <v>4.24</v>
      </c>
      <c r="V42" s="29">
        <f t="shared" si="1"/>
        <v>4.24</v>
      </c>
      <c r="W42" s="29">
        <f t="shared" si="2"/>
        <v>0.76319999999999999</v>
      </c>
      <c r="X42" s="29">
        <f t="shared" si="3"/>
        <v>5.0032000000000005</v>
      </c>
      <c r="Y42" s="24"/>
    </row>
    <row r="43" spans="1:25" ht="15.6">
      <c r="A43" s="89">
        <v>44573</v>
      </c>
      <c r="B43" s="16" t="s">
        <v>295</v>
      </c>
      <c r="C43" s="18" t="s">
        <v>21</v>
      </c>
      <c r="D43" s="18" t="s">
        <v>22</v>
      </c>
      <c r="E43" s="23">
        <v>1</v>
      </c>
      <c r="F43" s="23" t="s">
        <v>24</v>
      </c>
      <c r="G43" s="23">
        <v>1</v>
      </c>
      <c r="H43" s="23" t="s">
        <v>32</v>
      </c>
      <c r="I43" s="16" t="s">
        <v>72</v>
      </c>
      <c r="J43" s="20"/>
      <c r="K43" s="46"/>
      <c r="L43" s="49">
        <v>44573</v>
      </c>
      <c r="M43" s="50"/>
      <c r="N43" s="51" t="s">
        <v>69</v>
      </c>
      <c r="O43" s="52">
        <v>1</v>
      </c>
      <c r="P43" s="25"/>
      <c r="Q43" s="54" t="s">
        <v>27</v>
      </c>
      <c r="R43" s="27"/>
      <c r="S43" s="28"/>
      <c r="T43" s="29">
        <v>15.25</v>
      </c>
      <c r="U43" s="29">
        <f t="shared" si="4"/>
        <v>15.25</v>
      </c>
      <c r="V43" s="29">
        <f t="shared" si="1"/>
        <v>15.25</v>
      </c>
      <c r="W43" s="29">
        <f t="shared" si="2"/>
        <v>2.7450000000000001</v>
      </c>
      <c r="X43" s="29">
        <f t="shared" si="3"/>
        <v>17.995000000000001</v>
      </c>
      <c r="Y43" s="24"/>
    </row>
    <row r="44" spans="1:25" ht="15.6">
      <c r="A44" s="89">
        <v>44573</v>
      </c>
      <c r="B44" s="16" t="s">
        <v>295</v>
      </c>
      <c r="C44" s="18" t="s">
        <v>21</v>
      </c>
      <c r="D44" s="18" t="s">
        <v>22</v>
      </c>
      <c r="E44" s="23">
        <v>1</v>
      </c>
      <c r="F44" s="23" t="s">
        <v>24</v>
      </c>
      <c r="G44" s="23">
        <v>1</v>
      </c>
      <c r="H44" s="23" t="s">
        <v>28</v>
      </c>
      <c r="I44" s="16" t="s">
        <v>45</v>
      </c>
      <c r="J44" s="20"/>
      <c r="K44" s="46"/>
      <c r="L44" s="49">
        <v>44573</v>
      </c>
      <c r="M44" s="50"/>
      <c r="N44" s="51" t="s">
        <v>69</v>
      </c>
      <c r="O44" s="52">
        <v>1</v>
      </c>
      <c r="P44" s="25"/>
      <c r="Q44" s="54" t="s">
        <v>27</v>
      </c>
      <c r="R44" s="27"/>
      <c r="S44" s="28"/>
      <c r="T44" s="29">
        <v>10.17</v>
      </c>
      <c r="U44" s="29">
        <f t="shared" si="4"/>
        <v>10.17</v>
      </c>
      <c r="V44" s="29">
        <f t="shared" si="1"/>
        <v>10.17</v>
      </c>
      <c r="W44" s="29">
        <f t="shared" si="2"/>
        <v>1.8306</v>
      </c>
      <c r="X44" s="29">
        <f t="shared" si="3"/>
        <v>12.0006</v>
      </c>
      <c r="Y44" s="24"/>
    </row>
    <row r="45" spans="1:25" ht="15.6">
      <c r="A45" s="89">
        <v>44573</v>
      </c>
      <c r="B45" s="16" t="s">
        <v>295</v>
      </c>
      <c r="C45" s="18" t="s">
        <v>21</v>
      </c>
      <c r="D45" s="18" t="s">
        <v>22</v>
      </c>
      <c r="E45" s="23">
        <v>1</v>
      </c>
      <c r="F45" s="23" t="s">
        <v>24</v>
      </c>
      <c r="G45" s="23">
        <v>1</v>
      </c>
      <c r="H45" s="23" t="s">
        <v>28</v>
      </c>
      <c r="I45" s="16" t="s">
        <v>73</v>
      </c>
      <c r="J45" s="20"/>
      <c r="K45" s="46"/>
      <c r="L45" s="49">
        <v>44573</v>
      </c>
      <c r="M45" s="50"/>
      <c r="N45" s="51" t="s">
        <v>69</v>
      </c>
      <c r="O45" s="52">
        <v>1</v>
      </c>
      <c r="P45" s="25"/>
      <c r="Q45" s="54" t="s">
        <v>27</v>
      </c>
      <c r="R45" s="27"/>
      <c r="S45" s="28"/>
      <c r="T45" s="29">
        <v>10.17</v>
      </c>
      <c r="U45" s="29">
        <f t="shared" si="4"/>
        <v>10.17</v>
      </c>
      <c r="V45" s="29">
        <f t="shared" si="1"/>
        <v>10.17</v>
      </c>
      <c r="W45" s="29">
        <f t="shared" si="2"/>
        <v>1.8306</v>
      </c>
      <c r="X45" s="29">
        <f t="shared" si="3"/>
        <v>12.0006</v>
      </c>
      <c r="Y45" s="24"/>
    </row>
    <row r="46" spans="1:25" ht="15.6">
      <c r="A46" s="89">
        <v>44573</v>
      </c>
      <c r="B46" s="16" t="s">
        <v>295</v>
      </c>
      <c r="C46" s="18" t="s">
        <v>21</v>
      </c>
      <c r="D46" s="18" t="s">
        <v>22</v>
      </c>
      <c r="E46" s="23">
        <v>1</v>
      </c>
      <c r="F46" s="23" t="s">
        <v>24</v>
      </c>
      <c r="G46" s="23">
        <v>4</v>
      </c>
      <c r="H46" s="23" t="s">
        <v>28</v>
      </c>
      <c r="I46" s="16" t="s">
        <v>35</v>
      </c>
      <c r="J46" s="20"/>
      <c r="K46" s="46"/>
      <c r="L46" s="49">
        <v>44573</v>
      </c>
      <c r="M46" s="50"/>
      <c r="N46" s="51" t="s">
        <v>69</v>
      </c>
      <c r="O46" s="52">
        <v>1</v>
      </c>
      <c r="P46" s="25"/>
      <c r="Q46" s="54" t="s">
        <v>27</v>
      </c>
      <c r="R46" s="27"/>
      <c r="S46" s="28"/>
      <c r="T46" s="29">
        <v>23.73</v>
      </c>
      <c r="U46" s="29">
        <f t="shared" si="4"/>
        <v>23.73</v>
      </c>
      <c r="V46" s="29">
        <f t="shared" si="1"/>
        <v>23.73</v>
      </c>
      <c r="W46" s="29">
        <f t="shared" si="2"/>
        <v>4.2713999999999999</v>
      </c>
      <c r="X46" s="29">
        <f t="shared" si="3"/>
        <v>28.0014</v>
      </c>
      <c r="Y46" s="24"/>
    </row>
    <row r="47" spans="1:25" ht="15.6">
      <c r="A47" s="89">
        <v>44573</v>
      </c>
      <c r="B47" s="16" t="s">
        <v>295</v>
      </c>
      <c r="C47" s="18" t="s">
        <v>21</v>
      </c>
      <c r="D47" s="18" t="s">
        <v>22</v>
      </c>
      <c r="E47" s="23">
        <v>1</v>
      </c>
      <c r="F47" s="23" t="s">
        <v>24</v>
      </c>
      <c r="G47" s="23">
        <v>1</v>
      </c>
      <c r="H47" s="23" t="s">
        <v>24</v>
      </c>
      <c r="I47" s="16" t="s">
        <v>74</v>
      </c>
      <c r="J47" s="20"/>
      <c r="K47" s="46"/>
      <c r="L47" s="49">
        <v>44573</v>
      </c>
      <c r="M47" s="50"/>
      <c r="N47" s="51" t="s">
        <v>69</v>
      </c>
      <c r="O47" s="52">
        <v>1</v>
      </c>
      <c r="P47" s="25"/>
      <c r="Q47" s="54" t="s">
        <v>27</v>
      </c>
      <c r="R47" s="27"/>
      <c r="S47" s="28"/>
      <c r="T47" s="29">
        <v>25.42</v>
      </c>
      <c r="U47" s="29">
        <f t="shared" si="4"/>
        <v>25.42</v>
      </c>
      <c r="V47" s="29">
        <f t="shared" si="1"/>
        <v>25.42</v>
      </c>
      <c r="W47" s="29">
        <f t="shared" si="2"/>
        <v>4.5756000000000006</v>
      </c>
      <c r="X47" s="29">
        <f t="shared" si="3"/>
        <v>29.995600000000003</v>
      </c>
      <c r="Y47" s="24"/>
    </row>
    <row r="48" spans="1:25" ht="15.6">
      <c r="A48" s="89">
        <v>44573</v>
      </c>
      <c r="B48" s="16" t="s">
        <v>295</v>
      </c>
      <c r="C48" s="18" t="s">
        <v>21</v>
      </c>
      <c r="D48" s="18" t="s">
        <v>22</v>
      </c>
      <c r="E48" s="23">
        <v>1</v>
      </c>
      <c r="F48" s="23" t="s">
        <v>24</v>
      </c>
      <c r="G48" s="23">
        <v>1</v>
      </c>
      <c r="H48" s="23" t="s">
        <v>65</v>
      </c>
      <c r="I48" s="16" t="s">
        <v>75</v>
      </c>
      <c r="J48" s="20"/>
      <c r="K48" s="46"/>
      <c r="L48" s="49">
        <v>44573</v>
      </c>
      <c r="M48" s="50"/>
      <c r="N48" s="51" t="s">
        <v>69</v>
      </c>
      <c r="O48" s="52">
        <v>1</v>
      </c>
      <c r="P48" s="25"/>
      <c r="Q48" s="54" t="s">
        <v>27</v>
      </c>
      <c r="R48" s="27"/>
      <c r="S48" s="28"/>
      <c r="T48" s="29">
        <v>29.24</v>
      </c>
      <c r="U48" s="29">
        <f t="shared" si="4"/>
        <v>29.24</v>
      </c>
      <c r="V48" s="29">
        <f t="shared" si="1"/>
        <v>29.24</v>
      </c>
      <c r="W48" s="29">
        <f t="shared" si="2"/>
        <v>5.2631999999999994</v>
      </c>
      <c r="X48" s="29">
        <f t="shared" si="3"/>
        <v>34.5032</v>
      </c>
      <c r="Y48" s="24"/>
    </row>
    <row r="49" spans="1:25" ht="31.2">
      <c r="A49" s="89">
        <v>44574</v>
      </c>
      <c r="B49" s="16" t="s">
        <v>296</v>
      </c>
      <c r="C49" s="18" t="s">
        <v>21</v>
      </c>
      <c r="D49" s="18" t="s">
        <v>22</v>
      </c>
      <c r="E49" s="23">
        <v>1</v>
      </c>
      <c r="F49" s="23" t="s">
        <v>24</v>
      </c>
      <c r="G49" s="23">
        <v>1</v>
      </c>
      <c r="H49" s="23" t="s">
        <v>28</v>
      </c>
      <c r="I49" s="19" t="s">
        <v>49</v>
      </c>
      <c r="J49" s="20"/>
      <c r="K49" s="46"/>
      <c r="L49" s="49">
        <v>44574</v>
      </c>
      <c r="M49" s="50"/>
      <c r="N49" s="51">
        <v>47</v>
      </c>
      <c r="O49" s="52">
        <v>1</v>
      </c>
      <c r="P49" s="25"/>
      <c r="Q49" s="54" t="s">
        <v>27</v>
      </c>
      <c r="R49" s="27"/>
      <c r="S49" s="28"/>
      <c r="T49" s="29">
        <v>21.19</v>
      </c>
      <c r="U49" s="29">
        <f t="shared" si="4"/>
        <v>21.19</v>
      </c>
      <c r="V49" s="29">
        <f t="shared" si="1"/>
        <v>21.19</v>
      </c>
      <c r="W49" s="29">
        <f t="shared" si="2"/>
        <v>3.8142</v>
      </c>
      <c r="X49" s="29">
        <f t="shared" si="3"/>
        <v>25.004200000000001</v>
      </c>
      <c r="Y49" s="24"/>
    </row>
    <row r="50" spans="1:25" ht="62.4">
      <c r="A50" s="89">
        <v>44574</v>
      </c>
      <c r="B50" s="16" t="s">
        <v>296</v>
      </c>
      <c r="C50" s="18" t="s">
        <v>21</v>
      </c>
      <c r="D50" s="18" t="s">
        <v>22</v>
      </c>
      <c r="E50" s="23">
        <v>1</v>
      </c>
      <c r="F50" s="23" t="s">
        <v>24</v>
      </c>
      <c r="G50" s="23">
        <v>0.5</v>
      </c>
      <c r="H50" s="23" t="s">
        <v>28</v>
      </c>
      <c r="I50" s="19" t="s">
        <v>29</v>
      </c>
      <c r="J50" s="20"/>
      <c r="K50" s="46"/>
      <c r="L50" s="49">
        <v>44574</v>
      </c>
      <c r="M50" s="50"/>
      <c r="N50" s="51">
        <v>47</v>
      </c>
      <c r="O50" s="52">
        <v>1</v>
      </c>
      <c r="P50" s="25"/>
      <c r="Q50" s="54" t="s">
        <v>27</v>
      </c>
      <c r="R50" s="27"/>
      <c r="S50" s="28"/>
      <c r="T50" s="29">
        <v>6.78</v>
      </c>
      <c r="U50" s="29">
        <f t="shared" si="4"/>
        <v>6.78</v>
      </c>
      <c r="V50" s="29">
        <f t="shared" si="1"/>
        <v>6.78</v>
      </c>
      <c r="W50" s="29">
        <f t="shared" si="2"/>
        <v>1.2203999999999999</v>
      </c>
      <c r="X50" s="29">
        <f t="shared" si="3"/>
        <v>8.0004000000000008</v>
      </c>
      <c r="Y50" s="24"/>
    </row>
    <row r="51" spans="1:25" ht="31.2">
      <c r="A51" s="22">
        <v>44575</v>
      </c>
      <c r="B51" s="16" t="s">
        <v>297</v>
      </c>
      <c r="C51" s="18" t="s">
        <v>21</v>
      </c>
      <c r="D51" s="55" t="s">
        <v>22</v>
      </c>
      <c r="E51" s="23">
        <v>1</v>
      </c>
      <c r="F51" s="18" t="s">
        <v>24</v>
      </c>
      <c r="G51" s="23">
        <v>4</v>
      </c>
      <c r="H51" s="23" t="s">
        <v>28</v>
      </c>
      <c r="I51" s="56" t="s">
        <v>49</v>
      </c>
      <c r="J51" s="32"/>
      <c r="K51" s="49"/>
      <c r="L51" s="22">
        <v>44575</v>
      </c>
      <c r="M51" s="57"/>
      <c r="N51" s="58">
        <v>48</v>
      </c>
      <c r="O51" s="57">
        <v>1</v>
      </c>
      <c r="P51" s="25"/>
      <c r="Q51" s="54" t="s">
        <v>27</v>
      </c>
      <c r="R51" s="27"/>
      <c r="S51" s="28"/>
      <c r="T51" s="29">
        <v>72.03</v>
      </c>
      <c r="U51" s="29">
        <f t="shared" si="4"/>
        <v>72.03</v>
      </c>
      <c r="V51" s="29">
        <f t="shared" si="1"/>
        <v>72.03</v>
      </c>
      <c r="W51" s="29">
        <f t="shared" si="2"/>
        <v>12.965399999999999</v>
      </c>
      <c r="X51" s="29">
        <f t="shared" si="3"/>
        <v>84.995400000000004</v>
      </c>
      <c r="Y51" s="24"/>
    </row>
    <row r="52" spans="1:25" ht="31.2">
      <c r="A52" s="22">
        <v>44578</v>
      </c>
      <c r="B52" s="16" t="s">
        <v>298</v>
      </c>
      <c r="C52" s="23" t="s">
        <v>21</v>
      </c>
      <c r="D52" s="55" t="s">
        <v>22</v>
      </c>
      <c r="E52" s="23">
        <v>1</v>
      </c>
      <c r="F52" s="23" t="s">
        <v>24</v>
      </c>
      <c r="G52" s="23">
        <v>4</v>
      </c>
      <c r="H52" s="23" t="s">
        <v>28</v>
      </c>
      <c r="I52" s="56" t="s">
        <v>49</v>
      </c>
      <c r="J52" s="32"/>
      <c r="K52" s="49"/>
      <c r="L52" s="22">
        <v>44578</v>
      </c>
      <c r="M52" s="57"/>
      <c r="N52" s="58">
        <v>49</v>
      </c>
      <c r="O52" s="57">
        <v>1</v>
      </c>
      <c r="P52" s="25"/>
      <c r="Q52" s="54" t="s">
        <v>27</v>
      </c>
      <c r="R52" s="27"/>
      <c r="S52" s="28"/>
      <c r="T52" s="29">
        <v>72.03</v>
      </c>
      <c r="U52" s="29">
        <f t="shared" si="4"/>
        <v>72.03</v>
      </c>
      <c r="V52" s="29">
        <f t="shared" si="1"/>
        <v>72.03</v>
      </c>
      <c r="W52" s="29">
        <f t="shared" si="2"/>
        <v>12.965399999999999</v>
      </c>
      <c r="X52" s="29">
        <f t="shared" si="3"/>
        <v>84.995400000000004</v>
      </c>
      <c r="Y52" s="24"/>
    </row>
    <row r="53" spans="1:25" ht="31.2">
      <c r="A53" s="22">
        <v>44578</v>
      </c>
      <c r="B53" s="16" t="s">
        <v>278</v>
      </c>
      <c r="C53" s="23" t="s">
        <v>21</v>
      </c>
      <c r="D53" s="55" t="s">
        <v>22</v>
      </c>
      <c r="E53" s="23">
        <v>1</v>
      </c>
      <c r="F53" s="23" t="s">
        <v>24</v>
      </c>
      <c r="G53" s="23">
        <v>4</v>
      </c>
      <c r="H53" s="23" t="s">
        <v>28</v>
      </c>
      <c r="I53" s="56" t="s">
        <v>49</v>
      </c>
      <c r="J53" s="32"/>
      <c r="K53" s="49"/>
      <c r="L53" s="22">
        <v>44578</v>
      </c>
      <c r="M53" s="57"/>
      <c r="N53" s="58" t="s">
        <v>76</v>
      </c>
      <c r="O53" s="57">
        <v>1</v>
      </c>
      <c r="P53" s="25"/>
      <c r="Q53" s="54" t="s">
        <v>27</v>
      </c>
      <c r="R53" s="27"/>
      <c r="S53" s="28"/>
      <c r="T53" s="29">
        <v>72.03</v>
      </c>
      <c r="U53" s="29">
        <f t="shared" si="4"/>
        <v>72.03</v>
      </c>
      <c r="V53" s="29">
        <f t="shared" si="1"/>
        <v>72.03</v>
      </c>
      <c r="W53" s="29">
        <f t="shared" si="2"/>
        <v>12.965399999999999</v>
      </c>
      <c r="X53" s="29">
        <f t="shared" si="3"/>
        <v>84.995400000000004</v>
      </c>
      <c r="Y53" s="24"/>
    </row>
    <row r="54" spans="1:25" ht="15.6">
      <c r="A54" s="22">
        <v>44579</v>
      </c>
      <c r="B54" s="16" t="s">
        <v>299</v>
      </c>
      <c r="C54" s="23" t="s">
        <v>21</v>
      </c>
      <c r="D54" s="55" t="s">
        <v>22</v>
      </c>
      <c r="E54" s="23">
        <v>1</v>
      </c>
      <c r="F54" s="23" t="s">
        <v>24</v>
      </c>
      <c r="G54" s="23">
        <v>4</v>
      </c>
      <c r="H54" s="23" t="s">
        <v>28</v>
      </c>
      <c r="I54" s="56" t="s">
        <v>35</v>
      </c>
      <c r="J54" s="32"/>
      <c r="K54" s="49"/>
      <c r="L54" s="22">
        <v>44579</v>
      </c>
      <c r="M54" s="57"/>
      <c r="N54" s="58" t="s">
        <v>77</v>
      </c>
      <c r="O54" s="57">
        <v>1</v>
      </c>
      <c r="P54" s="25"/>
      <c r="Q54" s="54" t="s">
        <v>27</v>
      </c>
      <c r="R54" s="27"/>
      <c r="S54" s="28"/>
      <c r="T54" s="29">
        <v>23.73</v>
      </c>
      <c r="U54" s="29">
        <f t="shared" si="4"/>
        <v>23.73</v>
      </c>
      <c r="V54" s="29">
        <f t="shared" si="1"/>
        <v>23.73</v>
      </c>
      <c r="W54" s="29">
        <f t="shared" si="2"/>
        <v>4.2713999999999999</v>
      </c>
      <c r="X54" s="29">
        <f t="shared" si="3"/>
        <v>28.0014</v>
      </c>
      <c r="Y54" s="24"/>
    </row>
    <row r="55" spans="1:25" ht="46.8">
      <c r="A55" s="22">
        <v>44579</v>
      </c>
      <c r="B55" s="16" t="s">
        <v>299</v>
      </c>
      <c r="C55" s="23" t="s">
        <v>21</v>
      </c>
      <c r="D55" s="55" t="s">
        <v>22</v>
      </c>
      <c r="E55" s="23">
        <v>1</v>
      </c>
      <c r="F55" s="23" t="s">
        <v>24</v>
      </c>
      <c r="G55" s="23">
        <v>4</v>
      </c>
      <c r="H55" s="23" t="s">
        <v>28</v>
      </c>
      <c r="I55" s="56" t="s">
        <v>70</v>
      </c>
      <c r="J55" s="32"/>
      <c r="K55" s="49"/>
      <c r="L55" s="22">
        <v>44579</v>
      </c>
      <c r="M55" s="57"/>
      <c r="N55" s="58" t="s">
        <v>77</v>
      </c>
      <c r="O55" s="57">
        <v>1</v>
      </c>
      <c r="P55" s="25"/>
      <c r="Q55" s="54" t="s">
        <v>27</v>
      </c>
      <c r="R55" s="27"/>
      <c r="S55" s="28"/>
      <c r="T55" s="29">
        <v>16.95</v>
      </c>
      <c r="U55" s="29">
        <f t="shared" si="4"/>
        <v>16.95</v>
      </c>
      <c r="V55" s="29">
        <f t="shared" si="1"/>
        <v>16.95</v>
      </c>
      <c r="W55" s="29">
        <f t="shared" si="2"/>
        <v>3.0509999999999997</v>
      </c>
      <c r="X55" s="29">
        <f t="shared" si="3"/>
        <v>20.000999999999998</v>
      </c>
      <c r="Y55" s="24"/>
    </row>
    <row r="56" spans="1:25" ht="15.6">
      <c r="A56" s="22">
        <v>44579</v>
      </c>
      <c r="B56" s="16" t="s">
        <v>299</v>
      </c>
      <c r="C56" s="23" t="s">
        <v>21</v>
      </c>
      <c r="D56" s="55" t="s">
        <v>22</v>
      </c>
      <c r="E56" s="23">
        <v>1</v>
      </c>
      <c r="F56" s="23" t="s">
        <v>24</v>
      </c>
      <c r="G56" s="23">
        <v>4</v>
      </c>
      <c r="H56" s="23" t="s">
        <v>28</v>
      </c>
      <c r="I56" s="56" t="s">
        <v>35</v>
      </c>
      <c r="J56" s="32"/>
      <c r="K56" s="49"/>
      <c r="L56" s="22">
        <v>44579</v>
      </c>
      <c r="M56" s="57"/>
      <c r="N56" s="58" t="s">
        <v>78</v>
      </c>
      <c r="O56" s="57">
        <v>1</v>
      </c>
      <c r="P56" s="25"/>
      <c r="Q56" s="54" t="s">
        <v>27</v>
      </c>
      <c r="R56" s="27"/>
      <c r="S56" s="28"/>
      <c r="T56" s="29">
        <v>23.73</v>
      </c>
      <c r="U56" s="29">
        <f t="shared" si="4"/>
        <v>23.73</v>
      </c>
      <c r="V56" s="29">
        <f t="shared" si="1"/>
        <v>23.73</v>
      </c>
      <c r="W56" s="29">
        <f t="shared" si="2"/>
        <v>4.2713999999999999</v>
      </c>
      <c r="X56" s="29">
        <f t="shared" si="3"/>
        <v>28.0014</v>
      </c>
      <c r="Y56" s="24"/>
    </row>
    <row r="57" spans="1:25" ht="46.8">
      <c r="A57" s="22">
        <v>44579</v>
      </c>
      <c r="B57" s="16" t="s">
        <v>299</v>
      </c>
      <c r="C57" s="23" t="s">
        <v>21</v>
      </c>
      <c r="D57" s="55" t="s">
        <v>22</v>
      </c>
      <c r="E57" s="23">
        <v>1</v>
      </c>
      <c r="F57" s="23" t="s">
        <v>24</v>
      </c>
      <c r="G57" s="23">
        <v>4</v>
      </c>
      <c r="H57" s="23" t="s">
        <v>28</v>
      </c>
      <c r="I57" s="56" t="s">
        <v>70</v>
      </c>
      <c r="J57" s="32"/>
      <c r="K57" s="49"/>
      <c r="L57" s="22">
        <v>44579</v>
      </c>
      <c r="M57" s="57"/>
      <c r="N57" s="58" t="s">
        <v>78</v>
      </c>
      <c r="O57" s="57">
        <v>1</v>
      </c>
      <c r="P57" s="25"/>
      <c r="Q57" s="54" t="s">
        <v>27</v>
      </c>
      <c r="R57" s="27"/>
      <c r="S57" s="28"/>
      <c r="T57" s="29">
        <v>16.95</v>
      </c>
      <c r="U57" s="29">
        <f t="shared" si="4"/>
        <v>16.95</v>
      </c>
      <c r="V57" s="29">
        <f t="shared" si="1"/>
        <v>16.95</v>
      </c>
      <c r="W57" s="29">
        <f t="shared" si="2"/>
        <v>3.0509999999999997</v>
      </c>
      <c r="X57" s="29">
        <f t="shared" si="3"/>
        <v>20.000999999999998</v>
      </c>
      <c r="Y57" s="24"/>
    </row>
    <row r="58" spans="1:25" ht="46.8">
      <c r="A58" s="22">
        <v>44579</v>
      </c>
      <c r="B58" s="16" t="s">
        <v>300</v>
      </c>
      <c r="C58" s="23" t="s">
        <v>21</v>
      </c>
      <c r="D58" s="55" t="s">
        <v>22</v>
      </c>
      <c r="E58" s="23">
        <v>1</v>
      </c>
      <c r="F58" s="23" t="s">
        <v>24</v>
      </c>
      <c r="G58" s="23">
        <v>4</v>
      </c>
      <c r="H58" s="23" t="s">
        <v>28</v>
      </c>
      <c r="I58" s="56" t="s">
        <v>45</v>
      </c>
      <c r="J58" s="32"/>
      <c r="K58" s="49"/>
      <c r="L58" s="22">
        <v>44579</v>
      </c>
      <c r="M58" s="57"/>
      <c r="N58" s="58" t="s">
        <v>79</v>
      </c>
      <c r="O58" s="57">
        <v>1</v>
      </c>
      <c r="P58" s="25"/>
      <c r="Q58" s="54" t="s">
        <v>27</v>
      </c>
      <c r="R58" s="27"/>
      <c r="S58" s="28"/>
      <c r="T58" s="29">
        <v>34.749000000000002</v>
      </c>
      <c r="U58" s="29">
        <f t="shared" si="4"/>
        <v>34.749000000000002</v>
      </c>
      <c r="V58" s="29">
        <f t="shared" si="1"/>
        <v>34.749000000000002</v>
      </c>
      <c r="W58" s="29">
        <f t="shared" si="2"/>
        <v>6.2548200000000005</v>
      </c>
      <c r="X58" s="29">
        <f t="shared" si="3"/>
        <v>41.003820000000005</v>
      </c>
      <c r="Y58" s="24"/>
    </row>
    <row r="59" spans="1:25" ht="46.8">
      <c r="A59" s="22">
        <v>44579</v>
      </c>
      <c r="B59" s="16" t="s">
        <v>301</v>
      </c>
      <c r="C59" s="23" t="s">
        <v>21</v>
      </c>
      <c r="D59" s="55" t="s">
        <v>22</v>
      </c>
      <c r="E59" s="23">
        <v>1</v>
      </c>
      <c r="F59" s="23" t="s">
        <v>24</v>
      </c>
      <c r="G59" s="23">
        <v>4</v>
      </c>
      <c r="H59" s="23" t="s">
        <v>28</v>
      </c>
      <c r="I59" s="45" t="s">
        <v>80</v>
      </c>
      <c r="J59" s="32"/>
      <c r="K59" s="49"/>
      <c r="L59" s="22">
        <v>44579</v>
      </c>
      <c r="M59" s="57"/>
      <c r="N59" s="58" t="s">
        <v>81</v>
      </c>
      <c r="O59" s="57">
        <v>1</v>
      </c>
      <c r="P59" s="25"/>
      <c r="Q59" s="54" t="s">
        <v>27</v>
      </c>
      <c r="R59" s="27"/>
      <c r="S59" s="28"/>
      <c r="T59" s="29">
        <v>39.83</v>
      </c>
      <c r="U59" s="29">
        <f t="shared" si="4"/>
        <v>39.83</v>
      </c>
      <c r="V59" s="29">
        <f t="shared" si="1"/>
        <v>39.83</v>
      </c>
      <c r="W59" s="29">
        <f t="shared" si="2"/>
        <v>7.1693999999999996</v>
      </c>
      <c r="X59" s="29">
        <f t="shared" si="3"/>
        <v>46.999399999999994</v>
      </c>
      <c r="Y59" s="24"/>
    </row>
    <row r="60" spans="1:25" ht="31.2">
      <c r="A60" s="22">
        <v>44580</v>
      </c>
      <c r="B60" s="30" t="s">
        <v>293</v>
      </c>
      <c r="C60" s="23" t="s">
        <v>21</v>
      </c>
      <c r="D60" s="55" t="s">
        <v>22</v>
      </c>
      <c r="E60" s="23">
        <v>1</v>
      </c>
      <c r="F60" s="23" t="s">
        <v>24</v>
      </c>
      <c r="G60" s="23">
        <v>4</v>
      </c>
      <c r="H60" s="23" t="s">
        <v>28</v>
      </c>
      <c r="I60" s="56" t="s">
        <v>82</v>
      </c>
      <c r="J60" s="32"/>
      <c r="K60" s="49"/>
      <c r="L60" s="22">
        <v>44580</v>
      </c>
      <c r="M60" s="57"/>
      <c r="N60" s="58">
        <v>50</v>
      </c>
      <c r="O60" s="57">
        <v>1</v>
      </c>
      <c r="P60" s="25"/>
      <c r="Q60" s="54" t="s">
        <v>27</v>
      </c>
      <c r="R60" s="27"/>
      <c r="S60" s="28"/>
      <c r="T60" s="29">
        <v>38.139000000000003</v>
      </c>
      <c r="U60" s="29">
        <f t="shared" si="4"/>
        <v>38.139000000000003</v>
      </c>
      <c r="V60" s="29">
        <f t="shared" si="1"/>
        <v>38.139000000000003</v>
      </c>
      <c r="W60" s="29">
        <f t="shared" si="2"/>
        <v>6.8650200000000003</v>
      </c>
      <c r="X60" s="29">
        <f t="shared" si="3"/>
        <v>45.004020000000004</v>
      </c>
      <c r="Y60" s="24"/>
    </row>
    <row r="61" spans="1:25" ht="31.2">
      <c r="A61" s="22">
        <v>44580</v>
      </c>
      <c r="B61" s="16" t="s">
        <v>302</v>
      </c>
      <c r="C61" s="23" t="s">
        <v>21</v>
      </c>
      <c r="D61" s="55" t="s">
        <v>22</v>
      </c>
      <c r="E61" s="23">
        <v>1</v>
      </c>
      <c r="F61" s="23" t="s">
        <v>24</v>
      </c>
      <c r="G61" s="23">
        <v>0.5</v>
      </c>
      <c r="H61" s="23" t="s">
        <v>28</v>
      </c>
      <c r="I61" s="56" t="s">
        <v>82</v>
      </c>
      <c r="J61" s="32"/>
      <c r="K61" s="49"/>
      <c r="L61" s="22">
        <v>44580</v>
      </c>
      <c r="M61" s="57"/>
      <c r="N61" s="58" t="s">
        <v>83</v>
      </c>
      <c r="O61" s="57">
        <v>1</v>
      </c>
      <c r="P61" s="25"/>
      <c r="Q61" s="54" t="s">
        <v>27</v>
      </c>
      <c r="R61" s="27"/>
      <c r="S61" s="28"/>
      <c r="T61" s="29">
        <v>6.78</v>
      </c>
      <c r="U61" s="29">
        <f t="shared" si="4"/>
        <v>6.78</v>
      </c>
      <c r="V61" s="29">
        <f t="shared" si="1"/>
        <v>6.78</v>
      </c>
      <c r="W61" s="29">
        <f t="shared" si="2"/>
        <v>1.2203999999999999</v>
      </c>
      <c r="X61" s="29">
        <f t="shared" si="3"/>
        <v>8.0004000000000008</v>
      </c>
      <c r="Y61" s="24"/>
    </row>
    <row r="62" spans="1:25" ht="31.2">
      <c r="A62" s="22">
        <v>44580</v>
      </c>
      <c r="B62" s="16" t="s">
        <v>302</v>
      </c>
      <c r="C62" s="23" t="s">
        <v>21</v>
      </c>
      <c r="D62" s="55" t="s">
        <v>22</v>
      </c>
      <c r="E62" s="23">
        <v>1</v>
      </c>
      <c r="F62" s="23" t="s">
        <v>24</v>
      </c>
      <c r="G62" s="23">
        <v>4</v>
      </c>
      <c r="H62" s="23" t="s">
        <v>28</v>
      </c>
      <c r="I62" s="56" t="s">
        <v>49</v>
      </c>
      <c r="J62" s="32"/>
      <c r="K62" s="49"/>
      <c r="L62" s="22">
        <v>44580</v>
      </c>
      <c r="M62" s="57"/>
      <c r="N62" s="58" t="s">
        <v>83</v>
      </c>
      <c r="O62" s="57">
        <v>1</v>
      </c>
      <c r="P62" s="25"/>
      <c r="Q62" s="54" t="s">
        <v>27</v>
      </c>
      <c r="R62" s="27"/>
      <c r="S62" s="28"/>
      <c r="T62" s="29">
        <v>72.03</v>
      </c>
      <c r="U62" s="29">
        <f t="shared" si="4"/>
        <v>72.03</v>
      </c>
      <c r="V62" s="29">
        <f t="shared" si="1"/>
        <v>72.03</v>
      </c>
      <c r="W62" s="29">
        <f t="shared" si="2"/>
        <v>12.965399999999999</v>
      </c>
      <c r="X62" s="29">
        <f t="shared" si="3"/>
        <v>84.995400000000004</v>
      </c>
      <c r="Y62" s="24"/>
    </row>
    <row r="63" spans="1:25" ht="46.8">
      <c r="A63" s="22">
        <v>44580</v>
      </c>
      <c r="B63" s="16" t="s">
        <v>303</v>
      </c>
      <c r="C63" s="23" t="s">
        <v>21</v>
      </c>
      <c r="D63" s="55" t="s">
        <v>22</v>
      </c>
      <c r="E63" s="23">
        <v>1</v>
      </c>
      <c r="F63" s="23" t="s">
        <v>24</v>
      </c>
      <c r="G63" s="23">
        <v>4</v>
      </c>
      <c r="H63" s="23" t="s">
        <v>28</v>
      </c>
      <c r="I63" s="56" t="s">
        <v>68</v>
      </c>
      <c r="J63" s="32"/>
      <c r="K63" s="49"/>
      <c r="L63" s="22">
        <v>44580</v>
      </c>
      <c r="M63" s="57"/>
      <c r="N63" s="58" t="s">
        <v>84</v>
      </c>
      <c r="O63" s="57">
        <v>1</v>
      </c>
      <c r="P63" s="25"/>
      <c r="Q63" s="54" t="s">
        <v>27</v>
      </c>
      <c r="R63" s="27"/>
      <c r="S63" s="28"/>
      <c r="T63" s="29">
        <v>16.95</v>
      </c>
      <c r="U63" s="29">
        <f t="shared" si="4"/>
        <v>16.95</v>
      </c>
      <c r="V63" s="29">
        <f t="shared" si="1"/>
        <v>16.95</v>
      </c>
      <c r="W63" s="29">
        <f t="shared" si="2"/>
        <v>3.0509999999999997</v>
      </c>
      <c r="X63" s="29">
        <f t="shared" si="3"/>
        <v>20.000999999999998</v>
      </c>
      <c r="Y63" s="24"/>
    </row>
    <row r="64" spans="1:25" ht="31.2">
      <c r="A64" s="22">
        <v>44581</v>
      </c>
      <c r="B64" s="18" t="s">
        <v>304</v>
      </c>
      <c r="C64" s="23" t="s">
        <v>21</v>
      </c>
      <c r="D64" s="55" t="s">
        <v>22</v>
      </c>
      <c r="E64" s="23">
        <v>1</v>
      </c>
      <c r="F64" s="23" t="s">
        <v>24</v>
      </c>
      <c r="G64" s="23">
        <v>4</v>
      </c>
      <c r="H64" s="23" t="s">
        <v>28</v>
      </c>
      <c r="I64" s="56" t="s">
        <v>48</v>
      </c>
      <c r="J64" s="32"/>
      <c r="K64" s="49"/>
      <c r="L64" s="22">
        <v>44581</v>
      </c>
      <c r="M64" s="57"/>
      <c r="N64" s="58">
        <v>51</v>
      </c>
      <c r="O64" s="57">
        <v>1</v>
      </c>
      <c r="P64" s="25"/>
      <c r="Q64" s="54" t="s">
        <v>27</v>
      </c>
      <c r="R64" s="27"/>
      <c r="S64" s="28"/>
      <c r="T64" s="29">
        <v>72.03</v>
      </c>
      <c r="U64" s="29">
        <f t="shared" si="4"/>
        <v>72.03</v>
      </c>
      <c r="V64" s="29">
        <f t="shared" si="1"/>
        <v>72.03</v>
      </c>
      <c r="W64" s="29">
        <f t="shared" si="2"/>
        <v>12.965399999999999</v>
      </c>
      <c r="X64" s="29">
        <f t="shared" si="3"/>
        <v>84.995400000000004</v>
      </c>
      <c r="Y64" s="24"/>
    </row>
    <row r="65" spans="1:25" ht="62.4">
      <c r="A65" s="22">
        <v>44581</v>
      </c>
      <c r="B65" s="18" t="s">
        <v>305</v>
      </c>
      <c r="C65" s="23" t="s">
        <v>21</v>
      </c>
      <c r="D65" s="55" t="s">
        <v>22</v>
      </c>
      <c r="E65" s="23">
        <v>1</v>
      </c>
      <c r="F65" s="23" t="s">
        <v>24</v>
      </c>
      <c r="G65" s="23">
        <v>4</v>
      </c>
      <c r="H65" s="23" t="s">
        <v>28</v>
      </c>
      <c r="I65" s="56" t="s">
        <v>85</v>
      </c>
      <c r="J65" s="32"/>
      <c r="K65" s="49"/>
      <c r="L65" s="22">
        <v>44581</v>
      </c>
      <c r="M65" s="57"/>
      <c r="N65" s="58" t="s">
        <v>86</v>
      </c>
      <c r="O65" s="57">
        <v>1</v>
      </c>
      <c r="P65" s="25"/>
      <c r="Q65" s="54" t="s">
        <v>27</v>
      </c>
      <c r="R65" s="27"/>
      <c r="S65" s="28"/>
      <c r="T65" s="29">
        <v>15.25</v>
      </c>
      <c r="U65" s="29">
        <f t="shared" si="4"/>
        <v>15.25</v>
      </c>
      <c r="V65" s="29">
        <f t="shared" si="1"/>
        <v>15.25</v>
      </c>
      <c r="W65" s="29">
        <f t="shared" si="2"/>
        <v>2.7450000000000001</v>
      </c>
      <c r="X65" s="29">
        <f t="shared" si="3"/>
        <v>17.995000000000001</v>
      </c>
      <c r="Y65" s="24"/>
    </row>
    <row r="66" spans="1:25" ht="46.8">
      <c r="A66" s="22">
        <v>44581</v>
      </c>
      <c r="B66" s="18" t="s">
        <v>305</v>
      </c>
      <c r="C66" s="23" t="s">
        <v>21</v>
      </c>
      <c r="D66" s="55" t="s">
        <v>22</v>
      </c>
      <c r="E66" s="23">
        <v>1</v>
      </c>
      <c r="F66" s="23" t="s">
        <v>24</v>
      </c>
      <c r="G66" s="23">
        <v>4</v>
      </c>
      <c r="H66" s="23" t="s">
        <v>28</v>
      </c>
      <c r="I66" s="56" t="s">
        <v>68</v>
      </c>
      <c r="J66" s="32"/>
      <c r="K66" s="49"/>
      <c r="L66" s="22">
        <v>44581</v>
      </c>
      <c r="M66" s="57"/>
      <c r="N66" s="58" t="s">
        <v>86</v>
      </c>
      <c r="O66" s="57">
        <v>1</v>
      </c>
      <c r="P66" s="25"/>
      <c r="Q66" s="54" t="s">
        <v>27</v>
      </c>
      <c r="R66" s="27"/>
      <c r="S66" s="28"/>
      <c r="T66" s="29">
        <v>16.95</v>
      </c>
      <c r="U66" s="29">
        <f t="shared" si="4"/>
        <v>16.95</v>
      </c>
      <c r="V66" s="29">
        <f t="shared" si="1"/>
        <v>16.95</v>
      </c>
      <c r="W66" s="29">
        <f t="shared" si="2"/>
        <v>3.0509999999999997</v>
      </c>
      <c r="X66" s="29">
        <f t="shared" si="3"/>
        <v>20.000999999999998</v>
      </c>
      <c r="Y66" s="24"/>
    </row>
    <row r="67" spans="1:25" ht="31.2">
      <c r="A67" s="22">
        <v>44581</v>
      </c>
      <c r="B67" s="18" t="s">
        <v>305</v>
      </c>
      <c r="C67" s="23" t="s">
        <v>21</v>
      </c>
      <c r="D67" s="55" t="s">
        <v>22</v>
      </c>
      <c r="E67" s="23">
        <v>1</v>
      </c>
      <c r="F67" s="23" t="s">
        <v>24</v>
      </c>
      <c r="G67" s="23">
        <v>4</v>
      </c>
      <c r="H67" s="23" t="s">
        <v>28</v>
      </c>
      <c r="I67" s="56" t="s">
        <v>31</v>
      </c>
      <c r="J67" s="32"/>
      <c r="K67" s="49"/>
      <c r="L67" s="22">
        <v>44581</v>
      </c>
      <c r="M67" s="57"/>
      <c r="N67" s="58" t="s">
        <v>86</v>
      </c>
      <c r="O67" s="57">
        <v>1</v>
      </c>
      <c r="P67" s="25"/>
      <c r="Q67" s="54" t="s">
        <v>27</v>
      </c>
      <c r="R67" s="27"/>
      <c r="S67" s="28"/>
      <c r="T67" s="29">
        <v>21.19</v>
      </c>
      <c r="U67" s="29">
        <f t="shared" si="4"/>
        <v>21.19</v>
      </c>
      <c r="V67" s="29">
        <f t="shared" si="1"/>
        <v>21.19</v>
      </c>
      <c r="W67" s="29">
        <f t="shared" si="2"/>
        <v>3.8142</v>
      </c>
      <c r="X67" s="29">
        <f t="shared" ref="X67:X130" si="5">+W67+V67</f>
        <v>25.004200000000001</v>
      </c>
      <c r="Y67" s="24"/>
    </row>
    <row r="68" spans="1:25" ht="31.2">
      <c r="A68" s="22">
        <v>44581</v>
      </c>
      <c r="B68" s="18" t="s">
        <v>306</v>
      </c>
      <c r="C68" s="23" t="s">
        <v>21</v>
      </c>
      <c r="D68" s="55" t="s">
        <v>22</v>
      </c>
      <c r="E68" s="23">
        <v>1</v>
      </c>
      <c r="F68" s="23" t="s">
        <v>24</v>
      </c>
      <c r="G68" s="23">
        <v>4</v>
      </c>
      <c r="H68" s="23" t="s">
        <v>28</v>
      </c>
      <c r="I68" s="56" t="s">
        <v>71</v>
      </c>
      <c r="J68" s="32"/>
      <c r="K68" s="49"/>
      <c r="L68" s="22">
        <v>44581</v>
      </c>
      <c r="M68" s="57"/>
      <c r="N68" s="58" t="s">
        <v>87</v>
      </c>
      <c r="O68" s="57">
        <v>1</v>
      </c>
      <c r="P68" s="25"/>
      <c r="Q68" s="54" t="s">
        <v>27</v>
      </c>
      <c r="R68" s="27"/>
      <c r="S68" s="28"/>
      <c r="T68" s="29">
        <v>16.95</v>
      </c>
      <c r="U68" s="29">
        <f t="shared" si="4"/>
        <v>16.95</v>
      </c>
      <c r="V68" s="29">
        <f t="shared" si="1"/>
        <v>16.95</v>
      </c>
      <c r="W68" s="29">
        <f t="shared" si="2"/>
        <v>3.0509999999999997</v>
      </c>
      <c r="X68" s="29">
        <f t="shared" si="5"/>
        <v>20.000999999999998</v>
      </c>
      <c r="Y68" s="24"/>
    </row>
    <row r="69" spans="1:25" ht="31.2">
      <c r="A69" s="22">
        <v>44582</v>
      </c>
      <c r="B69" s="18" t="s">
        <v>307</v>
      </c>
      <c r="C69" s="23" t="s">
        <v>21</v>
      </c>
      <c r="D69" s="55" t="s">
        <v>22</v>
      </c>
      <c r="E69" s="23">
        <v>2</v>
      </c>
      <c r="F69" s="23" t="s">
        <v>24</v>
      </c>
      <c r="G69" s="23">
        <v>4</v>
      </c>
      <c r="H69" s="23" t="s">
        <v>28</v>
      </c>
      <c r="I69" s="56" t="s">
        <v>41</v>
      </c>
      <c r="J69" s="32"/>
      <c r="K69" s="49"/>
      <c r="L69" s="22">
        <v>44582</v>
      </c>
      <c r="M69" s="57"/>
      <c r="N69" s="58">
        <v>52</v>
      </c>
      <c r="O69" s="57">
        <v>1</v>
      </c>
      <c r="P69" s="25"/>
      <c r="Q69" s="54" t="s">
        <v>27</v>
      </c>
      <c r="R69" s="27"/>
      <c r="S69" s="28"/>
      <c r="T69" s="29">
        <v>30.51</v>
      </c>
      <c r="U69" s="29">
        <f t="shared" si="4"/>
        <v>61.02</v>
      </c>
      <c r="V69" s="29">
        <f t="shared" si="1"/>
        <v>61.02</v>
      </c>
      <c r="W69" s="29">
        <f t="shared" si="2"/>
        <v>10.983600000000001</v>
      </c>
      <c r="X69" s="29">
        <f t="shared" si="5"/>
        <v>72.003600000000006</v>
      </c>
      <c r="Y69" s="24"/>
    </row>
    <row r="70" spans="1:25" ht="31.2">
      <c r="A70" s="22">
        <v>44582</v>
      </c>
      <c r="B70" s="18" t="s">
        <v>308</v>
      </c>
      <c r="C70" s="23" t="s">
        <v>21</v>
      </c>
      <c r="D70" s="55" t="s">
        <v>22</v>
      </c>
      <c r="E70" s="23">
        <v>1</v>
      </c>
      <c r="F70" s="23" t="s">
        <v>24</v>
      </c>
      <c r="G70" s="23">
        <v>4</v>
      </c>
      <c r="H70" s="23" t="s">
        <v>28</v>
      </c>
      <c r="I70" s="56" t="s">
        <v>88</v>
      </c>
      <c r="J70" s="32"/>
      <c r="K70" s="49"/>
      <c r="L70" s="22">
        <v>44582</v>
      </c>
      <c r="M70" s="57"/>
      <c r="N70" s="58">
        <v>53</v>
      </c>
      <c r="O70" s="57">
        <v>1</v>
      </c>
      <c r="P70" s="25"/>
      <c r="Q70" s="54" t="s">
        <v>27</v>
      </c>
      <c r="R70" s="27"/>
      <c r="S70" s="28"/>
      <c r="T70" s="29">
        <v>50.85</v>
      </c>
      <c r="U70" s="29">
        <f t="shared" si="4"/>
        <v>50.85</v>
      </c>
      <c r="V70" s="29">
        <f t="shared" si="1"/>
        <v>50.85</v>
      </c>
      <c r="W70" s="29">
        <f t="shared" si="2"/>
        <v>9.1530000000000005</v>
      </c>
      <c r="X70" s="29">
        <f t="shared" si="5"/>
        <v>60.003</v>
      </c>
      <c r="Y70" s="24"/>
    </row>
    <row r="71" spans="1:25" ht="46.8">
      <c r="A71" s="22">
        <v>44583</v>
      </c>
      <c r="B71" s="18" t="s">
        <v>309</v>
      </c>
      <c r="C71" s="23" t="s">
        <v>21</v>
      </c>
      <c r="D71" s="55" t="s">
        <v>22</v>
      </c>
      <c r="E71" s="23">
        <v>2</v>
      </c>
      <c r="F71" s="23" t="s">
        <v>24</v>
      </c>
      <c r="G71" s="23">
        <v>4</v>
      </c>
      <c r="H71" s="23" t="s">
        <v>28</v>
      </c>
      <c r="I71" s="56" t="s">
        <v>68</v>
      </c>
      <c r="J71" s="32"/>
      <c r="K71" s="49"/>
      <c r="L71" s="22">
        <v>44583</v>
      </c>
      <c r="M71" s="57"/>
      <c r="N71" s="58">
        <v>54</v>
      </c>
      <c r="O71" s="57">
        <v>1</v>
      </c>
      <c r="P71" s="25"/>
      <c r="Q71" s="54" t="s">
        <v>27</v>
      </c>
      <c r="R71" s="27"/>
      <c r="S71" s="28"/>
      <c r="T71" s="29">
        <v>16.95</v>
      </c>
      <c r="U71" s="29">
        <f t="shared" ref="U71:U134" si="6">(T71*E71)-R71</f>
        <v>33.9</v>
      </c>
      <c r="V71" s="29">
        <f t="shared" si="1"/>
        <v>33.9</v>
      </c>
      <c r="W71" s="29">
        <f t="shared" si="2"/>
        <v>6.1019999999999994</v>
      </c>
      <c r="X71" s="29">
        <f t="shared" si="5"/>
        <v>40.001999999999995</v>
      </c>
      <c r="Y71" s="24"/>
    </row>
    <row r="72" spans="1:25" ht="46.8">
      <c r="A72" s="22">
        <v>44583</v>
      </c>
      <c r="B72" s="18" t="s">
        <v>309</v>
      </c>
      <c r="C72" s="23" t="s">
        <v>21</v>
      </c>
      <c r="D72" s="55" t="s">
        <v>22</v>
      </c>
      <c r="E72" s="23">
        <v>1</v>
      </c>
      <c r="F72" s="23" t="s">
        <v>24</v>
      </c>
      <c r="G72" s="23">
        <v>0.5</v>
      </c>
      <c r="H72" s="23" t="s">
        <v>28</v>
      </c>
      <c r="I72" s="56" t="s">
        <v>68</v>
      </c>
      <c r="J72" s="32"/>
      <c r="K72" s="49"/>
      <c r="L72" s="22">
        <v>44583</v>
      </c>
      <c r="M72" s="57"/>
      <c r="N72" s="58">
        <v>54</v>
      </c>
      <c r="O72" s="57">
        <v>1</v>
      </c>
      <c r="P72" s="25"/>
      <c r="Q72" s="54" t="s">
        <v>27</v>
      </c>
      <c r="R72" s="27"/>
      <c r="S72" s="28"/>
      <c r="T72" s="29">
        <v>6.78</v>
      </c>
      <c r="U72" s="29">
        <f t="shared" si="6"/>
        <v>6.78</v>
      </c>
      <c r="V72" s="29">
        <f t="shared" ref="V72:V135" si="7">+U72</f>
        <v>6.78</v>
      </c>
      <c r="W72" s="29">
        <f t="shared" ref="W72:W135" si="8">+V72*0.18</f>
        <v>1.2203999999999999</v>
      </c>
      <c r="X72" s="29">
        <f t="shared" si="5"/>
        <v>8.0004000000000008</v>
      </c>
      <c r="Y72" s="24"/>
    </row>
    <row r="73" spans="1:25" ht="46.8">
      <c r="A73" s="22">
        <v>44583</v>
      </c>
      <c r="B73" s="18" t="s">
        <v>309</v>
      </c>
      <c r="C73" s="23" t="s">
        <v>21</v>
      </c>
      <c r="D73" s="55" t="s">
        <v>22</v>
      </c>
      <c r="E73" s="23">
        <v>1</v>
      </c>
      <c r="F73" s="23" t="s">
        <v>24</v>
      </c>
      <c r="G73" s="23">
        <v>0.5</v>
      </c>
      <c r="H73" s="23" t="s">
        <v>28</v>
      </c>
      <c r="I73" s="56" t="s">
        <v>68</v>
      </c>
      <c r="J73" s="32"/>
      <c r="K73" s="49"/>
      <c r="L73" s="22">
        <v>44583</v>
      </c>
      <c r="M73" s="57"/>
      <c r="N73" s="58">
        <v>54</v>
      </c>
      <c r="O73" s="57">
        <v>1</v>
      </c>
      <c r="P73" s="25"/>
      <c r="Q73" s="54" t="s">
        <v>27</v>
      </c>
      <c r="R73" s="27"/>
      <c r="S73" s="28"/>
      <c r="T73" s="29">
        <v>6.78</v>
      </c>
      <c r="U73" s="29">
        <f t="shared" si="6"/>
        <v>6.78</v>
      </c>
      <c r="V73" s="29">
        <f t="shared" si="7"/>
        <v>6.78</v>
      </c>
      <c r="W73" s="29">
        <f t="shared" si="8"/>
        <v>1.2203999999999999</v>
      </c>
      <c r="X73" s="29">
        <f t="shared" si="5"/>
        <v>8.0004000000000008</v>
      </c>
      <c r="Y73" s="24"/>
    </row>
    <row r="74" spans="1:25" ht="46.8">
      <c r="A74" s="22">
        <v>44583</v>
      </c>
      <c r="B74" s="18" t="s">
        <v>309</v>
      </c>
      <c r="C74" s="23" t="s">
        <v>21</v>
      </c>
      <c r="D74" s="55" t="s">
        <v>22</v>
      </c>
      <c r="E74" s="23">
        <v>1</v>
      </c>
      <c r="F74" s="23" t="s">
        <v>24</v>
      </c>
      <c r="G74" s="23">
        <v>4</v>
      </c>
      <c r="H74" s="23" t="s">
        <v>28</v>
      </c>
      <c r="I74" s="56" t="s">
        <v>68</v>
      </c>
      <c r="J74" s="32"/>
      <c r="K74" s="49"/>
      <c r="L74" s="22">
        <v>44583</v>
      </c>
      <c r="M74" s="57"/>
      <c r="N74" s="58">
        <v>54</v>
      </c>
      <c r="O74" s="57">
        <v>1</v>
      </c>
      <c r="P74" s="25"/>
      <c r="Q74" s="54" t="s">
        <v>27</v>
      </c>
      <c r="R74" s="27"/>
      <c r="S74" s="28"/>
      <c r="T74" s="29">
        <v>16.95</v>
      </c>
      <c r="U74" s="29">
        <f t="shared" si="6"/>
        <v>16.95</v>
      </c>
      <c r="V74" s="29">
        <f t="shared" si="7"/>
        <v>16.95</v>
      </c>
      <c r="W74" s="29">
        <f t="shared" si="8"/>
        <v>3.0509999999999997</v>
      </c>
      <c r="X74" s="29">
        <f t="shared" si="5"/>
        <v>20.000999999999998</v>
      </c>
      <c r="Y74" s="24"/>
    </row>
    <row r="75" spans="1:25" ht="46.8">
      <c r="A75" s="22">
        <v>44583</v>
      </c>
      <c r="B75" s="35" t="s">
        <v>309</v>
      </c>
      <c r="C75" s="23" t="s">
        <v>21</v>
      </c>
      <c r="D75" s="55" t="s">
        <v>22</v>
      </c>
      <c r="E75" s="23">
        <v>2</v>
      </c>
      <c r="F75" s="23" t="s">
        <v>24</v>
      </c>
      <c r="G75" s="23">
        <v>4</v>
      </c>
      <c r="H75" s="23" t="s">
        <v>28</v>
      </c>
      <c r="I75" s="56" t="s">
        <v>70</v>
      </c>
      <c r="J75" s="32"/>
      <c r="K75" s="49"/>
      <c r="L75" s="22">
        <v>44583</v>
      </c>
      <c r="M75" s="59"/>
      <c r="N75" s="58">
        <v>55</v>
      </c>
      <c r="O75" s="57">
        <v>1</v>
      </c>
      <c r="P75" s="25"/>
      <c r="Q75" s="54" t="s">
        <v>27</v>
      </c>
      <c r="R75" s="27"/>
      <c r="S75" s="28"/>
      <c r="T75" s="29">
        <v>16.95</v>
      </c>
      <c r="U75" s="29">
        <f t="shared" si="6"/>
        <v>33.9</v>
      </c>
      <c r="V75" s="29">
        <f t="shared" si="7"/>
        <v>33.9</v>
      </c>
      <c r="W75" s="29">
        <f t="shared" si="8"/>
        <v>6.1019999999999994</v>
      </c>
      <c r="X75" s="29">
        <f t="shared" si="5"/>
        <v>40.001999999999995</v>
      </c>
      <c r="Y75" s="24"/>
    </row>
    <row r="76" spans="1:25" ht="46.8">
      <c r="A76" s="22">
        <v>44583</v>
      </c>
      <c r="B76" s="35" t="s">
        <v>309</v>
      </c>
      <c r="C76" s="23" t="s">
        <v>21</v>
      </c>
      <c r="D76" s="55" t="s">
        <v>22</v>
      </c>
      <c r="E76" s="23">
        <v>2</v>
      </c>
      <c r="F76" s="23" t="s">
        <v>24</v>
      </c>
      <c r="G76" s="23">
        <v>0.5</v>
      </c>
      <c r="H76" s="23" t="s">
        <v>28</v>
      </c>
      <c r="I76" s="56" t="s">
        <v>68</v>
      </c>
      <c r="J76" s="32"/>
      <c r="K76" s="49"/>
      <c r="L76" s="22">
        <v>44583</v>
      </c>
      <c r="M76" s="59"/>
      <c r="N76" s="58">
        <v>55</v>
      </c>
      <c r="O76" s="57">
        <v>1</v>
      </c>
      <c r="P76" s="25"/>
      <c r="Q76" s="54" t="s">
        <v>27</v>
      </c>
      <c r="R76" s="27"/>
      <c r="S76" s="28"/>
      <c r="T76" s="29">
        <v>6.78</v>
      </c>
      <c r="U76" s="29">
        <f t="shared" si="6"/>
        <v>13.56</v>
      </c>
      <c r="V76" s="29">
        <f t="shared" si="7"/>
        <v>13.56</v>
      </c>
      <c r="W76" s="29">
        <f t="shared" si="8"/>
        <v>2.4407999999999999</v>
      </c>
      <c r="X76" s="29">
        <f t="shared" si="5"/>
        <v>16.000800000000002</v>
      </c>
      <c r="Y76" s="24"/>
    </row>
    <row r="77" spans="1:25" ht="46.8">
      <c r="A77" s="22">
        <v>44583</v>
      </c>
      <c r="B77" s="35" t="s">
        <v>310</v>
      </c>
      <c r="C77" s="23" t="s">
        <v>21</v>
      </c>
      <c r="D77" s="55" t="s">
        <v>22</v>
      </c>
      <c r="E77" s="23">
        <v>1</v>
      </c>
      <c r="F77" s="23" t="s">
        <v>24</v>
      </c>
      <c r="G77" s="23">
        <v>4</v>
      </c>
      <c r="H77" s="23" t="s">
        <v>28</v>
      </c>
      <c r="I77" s="56" t="s">
        <v>70</v>
      </c>
      <c r="J77" s="32"/>
      <c r="K77" s="49"/>
      <c r="L77" s="22">
        <v>44583</v>
      </c>
      <c r="M77" s="59"/>
      <c r="N77" s="58" t="s">
        <v>89</v>
      </c>
      <c r="O77" s="57">
        <v>1</v>
      </c>
      <c r="P77" s="25"/>
      <c r="Q77" s="54" t="s">
        <v>27</v>
      </c>
      <c r="R77" s="27"/>
      <c r="S77" s="28"/>
      <c r="T77" s="29">
        <v>16.95</v>
      </c>
      <c r="U77" s="29">
        <f t="shared" si="6"/>
        <v>16.95</v>
      </c>
      <c r="V77" s="29">
        <f t="shared" si="7"/>
        <v>16.95</v>
      </c>
      <c r="W77" s="29">
        <f t="shared" si="8"/>
        <v>3.0509999999999997</v>
      </c>
      <c r="X77" s="29">
        <f t="shared" si="5"/>
        <v>20.000999999999998</v>
      </c>
      <c r="Y77" s="24"/>
    </row>
    <row r="78" spans="1:25" ht="31.2">
      <c r="A78" s="22">
        <v>44583</v>
      </c>
      <c r="B78" s="35" t="s">
        <v>311</v>
      </c>
      <c r="C78" s="23" t="s">
        <v>21</v>
      </c>
      <c r="D78" s="55" t="s">
        <v>22</v>
      </c>
      <c r="E78" s="23">
        <v>1</v>
      </c>
      <c r="F78" s="23" t="s">
        <v>24</v>
      </c>
      <c r="G78" s="23">
        <v>1</v>
      </c>
      <c r="H78" s="23" t="s">
        <v>28</v>
      </c>
      <c r="I78" s="56" t="s">
        <v>49</v>
      </c>
      <c r="J78" s="32"/>
      <c r="K78" s="49"/>
      <c r="L78" s="22">
        <v>44583</v>
      </c>
      <c r="M78" s="59"/>
      <c r="N78" s="58" t="s">
        <v>90</v>
      </c>
      <c r="O78" s="57">
        <v>1</v>
      </c>
      <c r="P78" s="25"/>
      <c r="Q78" s="54" t="s">
        <v>27</v>
      </c>
      <c r="R78" s="27"/>
      <c r="S78" s="28"/>
      <c r="T78" s="29">
        <v>21.19</v>
      </c>
      <c r="U78" s="29">
        <f t="shared" si="6"/>
        <v>21.19</v>
      </c>
      <c r="V78" s="29">
        <f t="shared" si="7"/>
        <v>21.19</v>
      </c>
      <c r="W78" s="29">
        <f t="shared" si="8"/>
        <v>3.8142</v>
      </c>
      <c r="X78" s="29">
        <f t="shared" si="5"/>
        <v>25.004200000000001</v>
      </c>
      <c r="Y78" s="24"/>
    </row>
    <row r="79" spans="1:25" ht="31.2">
      <c r="A79" s="22">
        <v>44583</v>
      </c>
      <c r="B79" s="35" t="s">
        <v>311</v>
      </c>
      <c r="C79" s="23" t="s">
        <v>21</v>
      </c>
      <c r="D79" s="23" t="s">
        <v>22</v>
      </c>
      <c r="E79" s="23">
        <v>1</v>
      </c>
      <c r="F79" s="23" t="s">
        <v>24</v>
      </c>
      <c r="G79" s="23">
        <v>0.5</v>
      </c>
      <c r="H79" s="23" t="s">
        <v>28</v>
      </c>
      <c r="I79" s="60" t="s">
        <v>82</v>
      </c>
      <c r="J79" s="61"/>
      <c r="K79" s="49"/>
      <c r="L79" s="22">
        <v>44583</v>
      </c>
      <c r="M79" s="57"/>
      <c r="N79" s="58" t="s">
        <v>91</v>
      </c>
      <c r="O79" s="57">
        <v>1</v>
      </c>
      <c r="P79" s="25"/>
      <c r="Q79" s="54" t="s">
        <v>27</v>
      </c>
      <c r="R79" s="27"/>
      <c r="S79" s="43"/>
      <c r="T79" s="29">
        <v>6.78</v>
      </c>
      <c r="U79" s="29">
        <f t="shared" si="6"/>
        <v>6.78</v>
      </c>
      <c r="V79" s="29">
        <f t="shared" si="7"/>
        <v>6.78</v>
      </c>
      <c r="W79" s="29">
        <f t="shared" si="8"/>
        <v>1.2203999999999999</v>
      </c>
      <c r="X79" s="29">
        <f t="shared" si="5"/>
        <v>8.0004000000000008</v>
      </c>
      <c r="Y79" s="24"/>
    </row>
    <row r="80" spans="1:25" ht="31.2">
      <c r="A80" s="22">
        <v>44585</v>
      </c>
      <c r="B80" s="35" t="s">
        <v>299</v>
      </c>
      <c r="C80" s="23" t="s">
        <v>21</v>
      </c>
      <c r="D80" s="23" t="s">
        <v>22</v>
      </c>
      <c r="E80" s="23">
        <v>2</v>
      </c>
      <c r="F80" s="23" t="s">
        <v>24</v>
      </c>
      <c r="G80" s="23">
        <v>4</v>
      </c>
      <c r="H80" s="23" t="s">
        <v>28</v>
      </c>
      <c r="I80" s="60" t="s">
        <v>92</v>
      </c>
      <c r="J80" s="61"/>
      <c r="K80" s="49"/>
      <c r="L80" s="22">
        <v>44585</v>
      </c>
      <c r="M80" s="57"/>
      <c r="N80" s="58" t="s">
        <v>93</v>
      </c>
      <c r="O80" s="57">
        <v>1</v>
      </c>
      <c r="P80" s="25"/>
      <c r="Q80" s="54" t="s">
        <v>27</v>
      </c>
      <c r="R80" s="27"/>
      <c r="S80" s="43"/>
      <c r="T80" s="29">
        <v>27.97</v>
      </c>
      <c r="U80" s="29">
        <f t="shared" si="6"/>
        <v>55.94</v>
      </c>
      <c r="V80" s="29">
        <f t="shared" si="7"/>
        <v>55.94</v>
      </c>
      <c r="W80" s="29">
        <f t="shared" si="8"/>
        <v>10.069199999999999</v>
      </c>
      <c r="X80" s="29">
        <f t="shared" si="5"/>
        <v>66.009199999999993</v>
      </c>
      <c r="Y80" s="24"/>
    </row>
    <row r="81" spans="1:25" ht="31.2">
      <c r="A81" s="22">
        <v>44585</v>
      </c>
      <c r="B81" s="35" t="s">
        <v>299</v>
      </c>
      <c r="C81" s="23" t="s">
        <v>21</v>
      </c>
      <c r="D81" s="23" t="s">
        <v>22</v>
      </c>
      <c r="E81" s="23">
        <v>3</v>
      </c>
      <c r="F81" s="23" t="s">
        <v>24</v>
      </c>
      <c r="G81" s="23">
        <v>4</v>
      </c>
      <c r="H81" s="23" t="s">
        <v>28</v>
      </c>
      <c r="I81" s="56" t="s">
        <v>51</v>
      </c>
      <c r="J81" s="32"/>
      <c r="K81" s="49"/>
      <c r="L81" s="22">
        <v>44585</v>
      </c>
      <c r="M81" s="57"/>
      <c r="N81" s="58" t="s">
        <v>93</v>
      </c>
      <c r="O81" s="57">
        <v>1</v>
      </c>
      <c r="P81" s="25"/>
      <c r="Q81" s="54" t="s">
        <v>27</v>
      </c>
      <c r="R81" s="27"/>
      <c r="S81" s="28"/>
      <c r="T81" s="29">
        <v>16.95</v>
      </c>
      <c r="U81" s="29">
        <f t="shared" si="6"/>
        <v>50.849999999999994</v>
      </c>
      <c r="V81" s="29">
        <f t="shared" si="7"/>
        <v>50.849999999999994</v>
      </c>
      <c r="W81" s="29">
        <f t="shared" si="8"/>
        <v>9.1529999999999987</v>
      </c>
      <c r="X81" s="29">
        <f t="shared" si="5"/>
        <v>60.002999999999993</v>
      </c>
      <c r="Y81" s="24"/>
    </row>
    <row r="82" spans="1:25" ht="31.2">
      <c r="A82" s="22">
        <v>44585</v>
      </c>
      <c r="B82" s="35" t="s">
        <v>299</v>
      </c>
      <c r="C82" s="23" t="s">
        <v>21</v>
      </c>
      <c r="D82" s="23" t="s">
        <v>22</v>
      </c>
      <c r="E82" s="23">
        <v>1</v>
      </c>
      <c r="F82" s="23" t="s">
        <v>24</v>
      </c>
      <c r="G82" s="23">
        <v>4</v>
      </c>
      <c r="H82" s="23" t="s">
        <v>28</v>
      </c>
      <c r="I82" s="56" t="s">
        <v>71</v>
      </c>
      <c r="J82" s="32"/>
      <c r="K82" s="49"/>
      <c r="L82" s="22">
        <v>44585</v>
      </c>
      <c r="M82" s="57"/>
      <c r="N82" s="58" t="s">
        <v>93</v>
      </c>
      <c r="O82" s="57">
        <v>1</v>
      </c>
      <c r="P82" s="25"/>
      <c r="Q82" s="54" t="s">
        <v>27</v>
      </c>
      <c r="R82" s="27"/>
      <c r="S82" s="28"/>
      <c r="T82" s="29">
        <v>16.95</v>
      </c>
      <c r="U82" s="29">
        <f t="shared" si="6"/>
        <v>16.95</v>
      </c>
      <c r="V82" s="29">
        <f t="shared" si="7"/>
        <v>16.95</v>
      </c>
      <c r="W82" s="29">
        <f t="shared" si="8"/>
        <v>3.0509999999999997</v>
      </c>
      <c r="X82" s="29">
        <f t="shared" si="5"/>
        <v>20.000999999999998</v>
      </c>
      <c r="Y82" s="24"/>
    </row>
    <row r="83" spans="1:25" ht="31.2">
      <c r="A83" s="22">
        <v>44585</v>
      </c>
      <c r="B83" s="35" t="s">
        <v>299</v>
      </c>
      <c r="C83" s="23" t="s">
        <v>21</v>
      </c>
      <c r="D83" s="23" t="s">
        <v>22</v>
      </c>
      <c r="E83" s="23">
        <v>1</v>
      </c>
      <c r="F83" s="23" t="s">
        <v>24</v>
      </c>
      <c r="G83" s="23">
        <v>0.12</v>
      </c>
      <c r="H83" s="23" t="s">
        <v>28</v>
      </c>
      <c r="I83" s="56" t="s">
        <v>94</v>
      </c>
      <c r="J83" s="32"/>
      <c r="K83" s="49"/>
      <c r="L83" s="22">
        <v>44585</v>
      </c>
      <c r="M83" s="57"/>
      <c r="N83" s="58" t="s">
        <v>93</v>
      </c>
      <c r="O83" s="57">
        <v>1</v>
      </c>
      <c r="P83" s="25"/>
      <c r="Q83" s="54" t="s">
        <v>27</v>
      </c>
      <c r="R83" s="27"/>
      <c r="S83" s="28"/>
      <c r="T83" s="29">
        <v>33.47</v>
      </c>
      <c r="U83" s="29">
        <f t="shared" si="6"/>
        <v>33.47</v>
      </c>
      <c r="V83" s="29">
        <f t="shared" si="7"/>
        <v>33.47</v>
      </c>
      <c r="W83" s="29">
        <f t="shared" si="8"/>
        <v>6.0245999999999995</v>
      </c>
      <c r="X83" s="29">
        <f t="shared" si="5"/>
        <v>39.494599999999998</v>
      </c>
      <c r="Y83" s="24"/>
    </row>
    <row r="84" spans="1:25" ht="31.2">
      <c r="A84" s="22">
        <v>44585</v>
      </c>
      <c r="B84" s="35" t="s">
        <v>312</v>
      </c>
      <c r="C84" s="23" t="s">
        <v>21</v>
      </c>
      <c r="D84" s="55" t="s">
        <v>22</v>
      </c>
      <c r="E84" s="23">
        <v>1</v>
      </c>
      <c r="F84" s="23" t="s">
        <v>24</v>
      </c>
      <c r="G84" s="23">
        <v>1</v>
      </c>
      <c r="H84" s="23" t="s">
        <v>28</v>
      </c>
      <c r="I84" s="56" t="s">
        <v>49</v>
      </c>
      <c r="J84" s="32"/>
      <c r="K84" s="49"/>
      <c r="L84" s="22">
        <v>44585</v>
      </c>
      <c r="M84" s="57"/>
      <c r="N84" s="58" t="s">
        <v>95</v>
      </c>
      <c r="O84" s="57">
        <v>1</v>
      </c>
      <c r="P84" s="25"/>
      <c r="Q84" s="54" t="s">
        <v>27</v>
      </c>
      <c r="R84" s="27"/>
      <c r="S84" s="28"/>
      <c r="T84" s="29">
        <v>21.19</v>
      </c>
      <c r="U84" s="29">
        <f t="shared" si="6"/>
        <v>21.19</v>
      </c>
      <c r="V84" s="29">
        <f t="shared" si="7"/>
        <v>21.19</v>
      </c>
      <c r="W84" s="29">
        <f t="shared" si="8"/>
        <v>3.8142</v>
      </c>
      <c r="X84" s="29">
        <f t="shared" si="5"/>
        <v>25.004200000000001</v>
      </c>
      <c r="Y84" s="24"/>
    </row>
    <row r="85" spans="1:25" ht="31.2">
      <c r="A85" s="22">
        <v>44585</v>
      </c>
      <c r="B85" s="35" t="s">
        <v>313</v>
      </c>
      <c r="C85" s="23" t="s">
        <v>21</v>
      </c>
      <c r="D85" s="55" t="s">
        <v>22</v>
      </c>
      <c r="E85" s="23">
        <v>2</v>
      </c>
      <c r="F85" s="23" t="s">
        <v>24</v>
      </c>
      <c r="G85" s="23">
        <v>1</v>
      </c>
      <c r="H85" s="23" t="s">
        <v>28</v>
      </c>
      <c r="I85" s="56" t="s">
        <v>49</v>
      </c>
      <c r="J85" s="32"/>
      <c r="K85" s="49"/>
      <c r="L85" s="22">
        <v>44585</v>
      </c>
      <c r="M85" s="57"/>
      <c r="N85" s="58" t="s">
        <v>96</v>
      </c>
      <c r="O85" s="57">
        <v>1</v>
      </c>
      <c r="P85" s="25"/>
      <c r="Q85" s="54" t="s">
        <v>27</v>
      </c>
      <c r="R85" s="27"/>
      <c r="S85" s="28"/>
      <c r="T85" s="29">
        <v>21.19</v>
      </c>
      <c r="U85" s="29">
        <f t="shared" si="6"/>
        <v>42.38</v>
      </c>
      <c r="V85" s="29">
        <f t="shared" si="7"/>
        <v>42.38</v>
      </c>
      <c r="W85" s="29">
        <f t="shared" si="8"/>
        <v>7.6284000000000001</v>
      </c>
      <c r="X85" s="29">
        <f t="shared" si="5"/>
        <v>50.008400000000002</v>
      </c>
      <c r="Y85" s="24"/>
    </row>
    <row r="86" spans="1:25" ht="31.2">
      <c r="A86" s="22">
        <v>44585</v>
      </c>
      <c r="B86" s="35" t="s">
        <v>313</v>
      </c>
      <c r="C86" s="23" t="s">
        <v>21</v>
      </c>
      <c r="D86" s="55" t="s">
        <v>22</v>
      </c>
      <c r="E86" s="23">
        <v>2</v>
      </c>
      <c r="F86" s="23" t="s">
        <v>24</v>
      </c>
      <c r="G86" s="23">
        <v>0.5</v>
      </c>
      <c r="H86" s="23" t="s">
        <v>28</v>
      </c>
      <c r="I86" s="56" t="s">
        <v>57</v>
      </c>
      <c r="J86" s="32"/>
      <c r="K86" s="49"/>
      <c r="L86" s="22">
        <v>44585</v>
      </c>
      <c r="M86" s="57"/>
      <c r="N86" s="58" t="s">
        <v>96</v>
      </c>
      <c r="O86" s="57">
        <v>1</v>
      </c>
      <c r="P86" s="25"/>
      <c r="Q86" s="54" t="s">
        <v>27</v>
      </c>
      <c r="R86" s="27"/>
      <c r="S86" s="28"/>
      <c r="T86" s="29">
        <v>6.78</v>
      </c>
      <c r="U86" s="29">
        <f t="shared" si="6"/>
        <v>13.56</v>
      </c>
      <c r="V86" s="29">
        <f t="shared" si="7"/>
        <v>13.56</v>
      </c>
      <c r="W86" s="29">
        <f t="shared" si="8"/>
        <v>2.4407999999999999</v>
      </c>
      <c r="X86" s="29">
        <f t="shared" si="5"/>
        <v>16.000800000000002</v>
      </c>
      <c r="Y86" s="24"/>
    </row>
    <row r="87" spans="1:25" ht="15.6">
      <c r="A87" s="22">
        <v>44585</v>
      </c>
      <c r="B87" s="23" t="s">
        <v>314</v>
      </c>
      <c r="C87" s="23" t="s">
        <v>21</v>
      </c>
      <c r="D87" s="23" t="s">
        <v>22</v>
      </c>
      <c r="E87" s="23">
        <v>1</v>
      </c>
      <c r="F87" s="23" t="s">
        <v>24</v>
      </c>
      <c r="G87" s="23">
        <v>4</v>
      </c>
      <c r="H87" s="23" t="s">
        <v>28</v>
      </c>
      <c r="I87" s="45" t="s">
        <v>35</v>
      </c>
      <c r="J87" s="32"/>
      <c r="K87" s="49"/>
      <c r="L87" s="22">
        <v>44585</v>
      </c>
      <c r="M87" s="57"/>
      <c r="N87" s="58" t="s">
        <v>97</v>
      </c>
      <c r="O87" s="57">
        <v>1</v>
      </c>
      <c r="P87" s="25"/>
      <c r="Q87" s="54" t="s">
        <v>27</v>
      </c>
      <c r="R87" s="27"/>
      <c r="S87" s="28"/>
      <c r="T87" s="29">
        <v>23.73</v>
      </c>
      <c r="U87" s="29">
        <f t="shared" si="6"/>
        <v>23.73</v>
      </c>
      <c r="V87" s="29">
        <f t="shared" si="7"/>
        <v>23.73</v>
      </c>
      <c r="W87" s="29">
        <f t="shared" si="8"/>
        <v>4.2713999999999999</v>
      </c>
      <c r="X87" s="29">
        <f t="shared" si="5"/>
        <v>28.0014</v>
      </c>
      <c r="Y87" s="24"/>
    </row>
    <row r="88" spans="1:25" ht="31.2">
      <c r="A88" s="22">
        <v>44585</v>
      </c>
      <c r="B88" s="23" t="s">
        <v>314</v>
      </c>
      <c r="C88" s="23" t="s">
        <v>21</v>
      </c>
      <c r="D88" s="23" t="s">
        <v>22</v>
      </c>
      <c r="E88" s="23">
        <v>1</v>
      </c>
      <c r="F88" s="23" t="s">
        <v>24</v>
      </c>
      <c r="G88" s="23">
        <v>4</v>
      </c>
      <c r="H88" s="23" t="s">
        <v>28</v>
      </c>
      <c r="I88" s="56" t="s">
        <v>41</v>
      </c>
      <c r="J88" s="32"/>
      <c r="K88" s="49"/>
      <c r="L88" s="22">
        <v>44585</v>
      </c>
      <c r="M88" s="57"/>
      <c r="N88" s="58" t="s">
        <v>97</v>
      </c>
      <c r="O88" s="57">
        <v>1</v>
      </c>
      <c r="P88" s="25"/>
      <c r="Q88" s="54" t="s">
        <v>27</v>
      </c>
      <c r="R88" s="27"/>
      <c r="S88" s="28"/>
      <c r="T88" s="29">
        <v>30.51</v>
      </c>
      <c r="U88" s="29">
        <f t="shared" si="6"/>
        <v>30.51</v>
      </c>
      <c r="V88" s="29">
        <f t="shared" si="7"/>
        <v>30.51</v>
      </c>
      <c r="W88" s="29">
        <f t="shared" si="8"/>
        <v>5.4918000000000005</v>
      </c>
      <c r="X88" s="29">
        <f t="shared" si="5"/>
        <v>36.001800000000003</v>
      </c>
      <c r="Y88" s="24"/>
    </row>
    <row r="89" spans="1:25" ht="46.8">
      <c r="A89" s="22">
        <v>44585</v>
      </c>
      <c r="B89" s="23" t="s">
        <v>314</v>
      </c>
      <c r="C89" s="23" t="s">
        <v>21</v>
      </c>
      <c r="D89" s="23" t="s">
        <v>22</v>
      </c>
      <c r="E89" s="23">
        <v>1</v>
      </c>
      <c r="F89" s="23" t="s">
        <v>24</v>
      </c>
      <c r="G89" s="23">
        <v>4</v>
      </c>
      <c r="H89" s="23" t="s">
        <v>28</v>
      </c>
      <c r="I89" s="56" t="s">
        <v>42</v>
      </c>
      <c r="J89" s="32"/>
      <c r="K89" s="49"/>
      <c r="L89" s="22">
        <v>44585</v>
      </c>
      <c r="M89" s="57"/>
      <c r="N89" s="58" t="s">
        <v>97</v>
      </c>
      <c r="O89" s="57">
        <v>1</v>
      </c>
      <c r="P89" s="25"/>
      <c r="Q89" s="54" t="s">
        <v>27</v>
      </c>
      <c r="R89" s="27"/>
      <c r="S89" s="28"/>
      <c r="T89" s="29">
        <v>12.71</v>
      </c>
      <c r="U89" s="29">
        <f t="shared" si="6"/>
        <v>12.71</v>
      </c>
      <c r="V89" s="29">
        <f t="shared" si="7"/>
        <v>12.71</v>
      </c>
      <c r="W89" s="29">
        <f t="shared" si="8"/>
        <v>2.2878000000000003</v>
      </c>
      <c r="X89" s="29">
        <f t="shared" si="5"/>
        <v>14.997800000000002</v>
      </c>
      <c r="Y89" s="24"/>
    </row>
    <row r="90" spans="1:25" ht="31.2">
      <c r="A90" s="22">
        <v>44585</v>
      </c>
      <c r="B90" s="23" t="s">
        <v>315</v>
      </c>
      <c r="C90" s="23" t="s">
        <v>21</v>
      </c>
      <c r="D90" s="23" t="s">
        <v>22</v>
      </c>
      <c r="E90" s="23">
        <v>1</v>
      </c>
      <c r="F90" s="23" t="s">
        <v>24</v>
      </c>
      <c r="G90" s="23">
        <v>4</v>
      </c>
      <c r="H90" s="23" t="s">
        <v>28</v>
      </c>
      <c r="I90" s="56" t="s">
        <v>57</v>
      </c>
      <c r="J90" s="32"/>
      <c r="K90" s="49"/>
      <c r="L90" s="22">
        <v>44585</v>
      </c>
      <c r="M90" s="57"/>
      <c r="N90" s="58">
        <v>57</v>
      </c>
      <c r="O90" s="57">
        <v>1</v>
      </c>
      <c r="P90" s="25"/>
      <c r="Q90" s="54" t="s">
        <v>27</v>
      </c>
      <c r="R90" s="27"/>
      <c r="S90" s="28"/>
      <c r="T90" s="29">
        <v>16.95</v>
      </c>
      <c r="U90" s="29">
        <f t="shared" si="6"/>
        <v>16.95</v>
      </c>
      <c r="V90" s="29">
        <f t="shared" si="7"/>
        <v>16.95</v>
      </c>
      <c r="W90" s="29">
        <f t="shared" si="8"/>
        <v>3.0509999999999997</v>
      </c>
      <c r="X90" s="29">
        <f t="shared" si="5"/>
        <v>20.000999999999998</v>
      </c>
      <c r="Y90" s="24"/>
    </row>
    <row r="91" spans="1:25" ht="31.2">
      <c r="A91" s="22">
        <v>44585</v>
      </c>
      <c r="B91" s="23" t="s">
        <v>315</v>
      </c>
      <c r="C91" s="23" t="s">
        <v>21</v>
      </c>
      <c r="D91" s="23" t="s">
        <v>22</v>
      </c>
      <c r="E91" s="23">
        <v>1</v>
      </c>
      <c r="F91" s="23" t="s">
        <v>24</v>
      </c>
      <c r="G91" s="23">
        <v>4</v>
      </c>
      <c r="H91" s="23" t="s">
        <v>28</v>
      </c>
      <c r="I91" s="56" t="s">
        <v>98</v>
      </c>
      <c r="J91" s="32"/>
      <c r="K91" s="49"/>
      <c r="L91" s="22">
        <v>44585</v>
      </c>
      <c r="M91" s="57"/>
      <c r="N91" s="58">
        <v>57</v>
      </c>
      <c r="O91" s="57">
        <v>1</v>
      </c>
      <c r="P91" s="25"/>
      <c r="Q91" s="54" t="s">
        <v>27</v>
      </c>
      <c r="R91" s="27"/>
      <c r="S91" s="28"/>
      <c r="T91" s="29">
        <v>16.53</v>
      </c>
      <c r="U91" s="29">
        <f t="shared" si="6"/>
        <v>16.53</v>
      </c>
      <c r="V91" s="29">
        <f t="shared" si="7"/>
        <v>16.53</v>
      </c>
      <c r="W91" s="29">
        <f t="shared" si="8"/>
        <v>2.9754</v>
      </c>
      <c r="X91" s="29">
        <f t="shared" si="5"/>
        <v>19.505400000000002</v>
      </c>
      <c r="Y91" s="24"/>
    </row>
    <row r="92" spans="1:25" ht="31.2">
      <c r="A92" s="22">
        <v>44585</v>
      </c>
      <c r="B92" s="23" t="s">
        <v>315</v>
      </c>
      <c r="C92" s="23" t="s">
        <v>21</v>
      </c>
      <c r="D92" s="23" t="s">
        <v>22</v>
      </c>
      <c r="E92" s="23">
        <v>1</v>
      </c>
      <c r="F92" s="23" t="s">
        <v>24</v>
      </c>
      <c r="G92" s="23">
        <v>4</v>
      </c>
      <c r="H92" s="23" t="s">
        <v>28</v>
      </c>
      <c r="I92" s="19" t="s">
        <v>38</v>
      </c>
      <c r="J92" s="32"/>
      <c r="K92" s="49"/>
      <c r="L92" s="22">
        <v>44585</v>
      </c>
      <c r="M92" s="57"/>
      <c r="N92" s="58">
        <v>57</v>
      </c>
      <c r="O92" s="57">
        <v>1</v>
      </c>
      <c r="P92" s="25"/>
      <c r="Q92" s="54" t="s">
        <v>27</v>
      </c>
      <c r="R92" s="27"/>
      <c r="S92" s="28"/>
      <c r="T92" s="29">
        <v>16.53</v>
      </c>
      <c r="U92" s="29">
        <f t="shared" si="6"/>
        <v>16.53</v>
      </c>
      <c r="V92" s="29">
        <f t="shared" si="7"/>
        <v>16.53</v>
      </c>
      <c r="W92" s="29">
        <f t="shared" si="8"/>
        <v>2.9754</v>
      </c>
      <c r="X92" s="29">
        <f t="shared" si="5"/>
        <v>19.505400000000002</v>
      </c>
      <c r="Y92" s="24"/>
    </row>
    <row r="93" spans="1:25" ht="31.2">
      <c r="A93" s="22">
        <v>44585</v>
      </c>
      <c r="B93" s="23" t="s">
        <v>316</v>
      </c>
      <c r="C93" s="23" t="s">
        <v>21</v>
      </c>
      <c r="D93" s="55" t="s">
        <v>22</v>
      </c>
      <c r="E93" s="23">
        <v>1</v>
      </c>
      <c r="F93" s="23" t="s">
        <v>24</v>
      </c>
      <c r="G93" s="23">
        <v>4</v>
      </c>
      <c r="H93" s="23" t="s">
        <v>28</v>
      </c>
      <c r="I93" s="56" t="s">
        <v>71</v>
      </c>
      <c r="J93" s="32"/>
      <c r="K93" s="49"/>
      <c r="L93" s="22">
        <v>44585</v>
      </c>
      <c r="M93" s="57"/>
      <c r="N93" s="58">
        <v>59</v>
      </c>
      <c r="O93" s="57">
        <v>1</v>
      </c>
      <c r="P93" s="25"/>
      <c r="Q93" s="54" t="s">
        <v>27</v>
      </c>
      <c r="R93" s="27"/>
      <c r="S93" s="28"/>
      <c r="T93" s="29">
        <v>16.95</v>
      </c>
      <c r="U93" s="29">
        <f t="shared" si="6"/>
        <v>16.95</v>
      </c>
      <c r="V93" s="29">
        <f t="shared" si="7"/>
        <v>16.95</v>
      </c>
      <c r="W93" s="29">
        <f t="shared" si="8"/>
        <v>3.0509999999999997</v>
      </c>
      <c r="X93" s="29">
        <f t="shared" si="5"/>
        <v>20.000999999999998</v>
      </c>
      <c r="Y93" s="24"/>
    </row>
    <row r="94" spans="1:25" ht="31.2">
      <c r="A94" s="22">
        <v>44585</v>
      </c>
      <c r="B94" s="23" t="s">
        <v>316</v>
      </c>
      <c r="C94" s="23" t="s">
        <v>21</v>
      </c>
      <c r="D94" s="55" t="s">
        <v>22</v>
      </c>
      <c r="E94" s="23">
        <v>1</v>
      </c>
      <c r="F94" s="23" t="s">
        <v>24</v>
      </c>
      <c r="G94" s="23">
        <v>0.5</v>
      </c>
      <c r="H94" s="23" t="s">
        <v>28</v>
      </c>
      <c r="I94" s="56" t="s">
        <v>57</v>
      </c>
      <c r="J94" s="32"/>
      <c r="K94" s="49"/>
      <c r="L94" s="22">
        <v>44585</v>
      </c>
      <c r="M94" s="57"/>
      <c r="N94" s="58">
        <v>59</v>
      </c>
      <c r="O94" s="57">
        <v>1</v>
      </c>
      <c r="P94" s="25"/>
      <c r="Q94" s="54" t="s">
        <v>27</v>
      </c>
      <c r="R94" s="27">
        <v>2.5419999999999998</v>
      </c>
      <c r="S94" s="28"/>
      <c r="T94" s="29">
        <v>6.78</v>
      </c>
      <c r="U94" s="29">
        <f t="shared" si="6"/>
        <v>4.2380000000000004</v>
      </c>
      <c r="V94" s="29">
        <f t="shared" si="7"/>
        <v>4.2380000000000004</v>
      </c>
      <c r="W94" s="29">
        <f t="shared" si="8"/>
        <v>0.76284000000000007</v>
      </c>
      <c r="X94" s="29">
        <f t="shared" si="5"/>
        <v>5.0008400000000002</v>
      </c>
      <c r="Y94" s="24"/>
    </row>
    <row r="95" spans="1:25" ht="31.2">
      <c r="A95" s="22">
        <v>44585</v>
      </c>
      <c r="B95" s="23" t="s">
        <v>317</v>
      </c>
      <c r="C95" s="23" t="s">
        <v>21</v>
      </c>
      <c r="D95" s="55" t="s">
        <v>22</v>
      </c>
      <c r="E95" s="23">
        <v>1</v>
      </c>
      <c r="F95" s="23" t="s">
        <v>24</v>
      </c>
      <c r="G95" s="23">
        <v>0.5</v>
      </c>
      <c r="H95" s="23" t="s">
        <v>28</v>
      </c>
      <c r="I95" s="56" t="s">
        <v>82</v>
      </c>
      <c r="J95" s="32"/>
      <c r="K95" s="49"/>
      <c r="L95" s="22">
        <v>44585</v>
      </c>
      <c r="M95" s="57"/>
      <c r="N95" s="58">
        <v>60</v>
      </c>
      <c r="O95" s="57">
        <v>1</v>
      </c>
      <c r="P95" s="25"/>
      <c r="Q95" s="54" t="s">
        <v>27</v>
      </c>
      <c r="R95" s="27"/>
      <c r="S95" s="28"/>
      <c r="T95" s="29">
        <v>6.78</v>
      </c>
      <c r="U95" s="29">
        <f t="shared" si="6"/>
        <v>6.78</v>
      </c>
      <c r="V95" s="29">
        <f t="shared" si="7"/>
        <v>6.78</v>
      </c>
      <c r="W95" s="29">
        <f t="shared" si="8"/>
        <v>1.2203999999999999</v>
      </c>
      <c r="X95" s="29">
        <f t="shared" si="5"/>
        <v>8.0004000000000008</v>
      </c>
      <c r="Y95" s="24"/>
    </row>
    <row r="96" spans="1:25" ht="31.2">
      <c r="A96" s="22">
        <v>44585</v>
      </c>
      <c r="B96" s="23" t="s">
        <v>317</v>
      </c>
      <c r="C96" s="23" t="s">
        <v>21</v>
      </c>
      <c r="D96" s="55" t="s">
        <v>22</v>
      </c>
      <c r="E96" s="23">
        <v>1</v>
      </c>
      <c r="F96" s="23" t="s">
        <v>24</v>
      </c>
      <c r="G96" s="23">
        <v>1</v>
      </c>
      <c r="H96" s="23" t="s">
        <v>28</v>
      </c>
      <c r="I96" s="56" t="s">
        <v>49</v>
      </c>
      <c r="J96" s="32"/>
      <c r="K96" s="49"/>
      <c r="L96" s="22">
        <v>44585</v>
      </c>
      <c r="M96" s="57"/>
      <c r="N96" s="58">
        <v>60</v>
      </c>
      <c r="O96" s="57">
        <v>1</v>
      </c>
      <c r="P96" s="25"/>
      <c r="Q96" s="54" t="s">
        <v>27</v>
      </c>
      <c r="R96" s="27"/>
      <c r="S96" s="28"/>
      <c r="T96" s="29">
        <v>21.19</v>
      </c>
      <c r="U96" s="29">
        <f t="shared" si="6"/>
        <v>21.19</v>
      </c>
      <c r="V96" s="29">
        <f t="shared" si="7"/>
        <v>21.19</v>
      </c>
      <c r="W96" s="29">
        <f t="shared" si="8"/>
        <v>3.8142</v>
      </c>
      <c r="X96" s="29">
        <f t="shared" si="5"/>
        <v>25.004200000000001</v>
      </c>
      <c r="Y96" s="24"/>
    </row>
    <row r="97" spans="1:25" ht="46.8">
      <c r="A97" s="22">
        <v>44585</v>
      </c>
      <c r="B97" s="23" t="s">
        <v>317</v>
      </c>
      <c r="C97" s="23" t="s">
        <v>21</v>
      </c>
      <c r="D97" s="55" t="s">
        <v>22</v>
      </c>
      <c r="E97" s="23">
        <v>1</v>
      </c>
      <c r="F97" s="23" t="s">
        <v>24</v>
      </c>
      <c r="G97" s="23">
        <v>1</v>
      </c>
      <c r="H97" s="23" t="s">
        <v>28</v>
      </c>
      <c r="I97" s="56" t="s">
        <v>99</v>
      </c>
      <c r="J97" s="32"/>
      <c r="K97" s="49"/>
      <c r="L97" s="22">
        <v>44585</v>
      </c>
      <c r="M97" s="57"/>
      <c r="N97" s="58">
        <v>60</v>
      </c>
      <c r="O97" s="57">
        <v>1</v>
      </c>
      <c r="P97" s="25"/>
      <c r="Q97" s="54" t="s">
        <v>27</v>
      </c>
      <c r="R97" s="27"/>
      <c r="S97" s="28"/>
      <c r="T97" s="29">
        <v>8.4700000000000006</v>
      </c>
      <c r="U97" s="29">
        <f t="shared" si="6"/>
        <v>8.4700000000000006</v>
      </c>
      <c r="V97" s="29">
        <f t="shared" si="7"/>
        <v>8.4700000000000006</v>
      </c>
      <c r="W97" s="29">
        <f t="shared" si="8"/>
        <v>1.5246</v>
      </c>
      <c r="X97" s="29">
        <f t="shared" si="5"/>
        <v>9.9946000000000002</v>
      </c>
      <c r="Y97" s="24"/>
    </row>
    <row r="98" spans="1:25" ht="15.6">
      <c r="A98" s="22">
        <v>44585</v>
      </c>
      <c r="B98" s="23" t="s">
        <v>317</v>
      </c>
      <c r="C98" s="23" t="s">
        <v>21</v>
      </c>
      <c r="D98" s="55" t="s">
        <v>22</v>
      </c>
      <c r="E98" s="23">
        <v>1</v>
      </c>
      <c r="F98" s="23" t="s">
        <v>24</v>
      </c>
      <c r="G98" s="23">
        <v>1</v>
      </c>
      <c r="H98" s="23" t="s">
        <v>28</v>
      </c>
      <c r="I98" s="56" t="s">
        <v>35</v>
      </c>
      <c r="J98" s="32"/>
      <c r="K98" s="49"/>
      <c r="L98" s="22">
        <v>44585</v>
      </c>
      <c r="M98" s="57"/>
      <c r="N98" s="58">
        <v>60</v>
      </c>
      <c r="O98" s="57">
        <v>1</v>
      </c>
      <c r="P98" s="25"/>
      <c r="Q98" s="54" t="s">
        <v>27</v>
      </c>
      <c r="R98" s="27"/>
      <c r="S98" s="28"/>
      <c r="T98" s="29">
        <v>8.0500000000000007</v>
      </c>
      <c r="U98" s="29">
        <f t="shared" si="6"/>
        <v>8.0500000000000007</v>
      </c>
      <c r="V98" s="29">
        <f t="shared" si="7"/>
        <v>8.0500000000000007</v>
      </c>
      <c r="W98" s="29">
        <f t="shared" si="8"/>
        <v>1.4490000000000001</v>
      </c>
      <c r="X98" s="29">
        <f t="shared" si="5"/>
        <v>9.4990000000000006</v>
      </c>
      <c r="Y98" s="24"/>
    </row>
    <row r="99" spans="1:25" ht="31.2">
      <c r="A99" s="22">
        <v>44586</v>
      </c>
      <c r="B99" s="23" t="s">
        <v>318</v>
      </c>
      <c r="C99" s="23" t="s">
        <v>21</v>
      </c>
      <c r="D99" s="55" t="s">
        <v>22</v>
      </c>
      <c r="E99" s="23">
        <v>1</v>
      </c>
      <c r="F99" s="23" t="s">
        <v>24</v>
      </c>
      <c r="G99" s="23">
        <v>0.5</v>
      </c>
      <c r="H99" s="23" t="s">
        <v>28</v>
      </c>
      <c r="I99" s="56" t="s">
        <v>40</v>
      </c>
      <c r="J99" s="32"/>
      <c r="K99" s="49"/>
      <c r="L99" s="22">
        <v>44586</v>
      </c>
      <c r="M99" s="57"/>
      <c r="N99" s="58" t="s">
        <v>100</v>
      </c>
      <c r="O99" s="57">
        <v>1</v>
      </c>
      <c r="P99" s="25"/>
      <c r="Q99" s="54" t="s">
        <v>27</v>
      </c>
      <c r="R99" s="27"/>
      <c r="S99" s="28"/>
      <c r="T99" s="29">
        <v>6.78</v>
      </c>
      <c r="U99" s="29">
        <f t="shared" si="6"/>
        <v>6.78</v>
      </c>
      <c r="V99" s="29">
        <f t="shared" si="7"/>
        <v>6.78</v>
      </c>
      <c r="W99" s="29">
        <f t="shared" si="8"/>
        <v>1.2203999999999999</v>
      </c>
      <c r="X99" s="29">
        <f t="shared" si="5"/>
        <v>8.0004000000000008</v>
      </c>
      <c r="Y99" s="24"/>
    </row>
    <row r="100" spans="1:25" ht="31.2">
      <c r="A100" s="22">
        <v>44586</v>
      </c>
      <c r="B100" s="23" t="s">
        <v>318</v>
      </c>
      <c r="C100" s="23" t="s">
        <v>21</v>
      </c>
      <c r="D100" s="55" t="s">
        <v>22</v>
      </c>
      <c r="E100" s="23">
        <v>1</v>
      </c>
      <c r="F100" s="23" t="s">
        <v>24</v>
      </c>
      <c r="G100" s="23">
        <v>4</v>
      </c>
      <c r="H100" s="23" t="s">
        <v>28</v>
      </c>
      <c r="I100" s="56" t="s">
        <v>57</v>
      </c>
      <c r="J100" s="32"/>
      <c r="K100" s="49"/>
      <c r="L100" s="22">
        <v>44586</v>
      </c>
      <c r="M100" s="57"/>
      <c r="N100" s="58" t="s">
        <v>100</v>
      </c>
      <c r="O100" s="57">
        <v>1</v>
      </c>
      <c r="P100" s="25"/>
      <c r="Q100" s="54" t="s">
        <v>27</v>
      </c>
      <c r="R100" s="27"/>
      <c r="S100" s="28"/>
      <c r="T100" s="29">
        <v>16.95</v>
      </c>
      <c r="U100" s="29">
        <f t="shared" si="6"/>
        <v>16.95</v>
      </c>
      <c r="V100" s="29">
        <f t="shared" si="7"/>
        <v>16.95</v>
      </c>
      <c r="W100" s="29">
        <f t="shared" si="8"/>
        <v>3.0509999999999997</v>
      </c>
      <c r="X100" s="29">
        <f t="shared" si="5"/>
        <v>20.000999999999998</v>
      </c>
      <c r="Y100" s="24"/>
    </row>
    <row r="101" spans="1:25" ht="31.2">
      <c r="A101" s="22">
        <v>44586</v>
      </c>
      <c r="B101" s="23" t="s">
        <v>318</v>
      </c>
      <c r="C101" s="23" t="s">
        <v>21</v>
      </c>
      <c r="D101" s="55" t="s">
        <v>22</v>
      </c>
      <c r="E101" s="23">
        <v>1</v>
      </c>
      <c r="F101" s="23" t="s">
        <v>24</v>
      </c>
      <c r="G101" s="23">
        <v>4</v>
      </c>
      <c r="H101" s="23" t="s">
        <v>28</v>
      </c>
      <c r="I101" s="56" t="s">
        <v>52</v>
      </c>
      <c r="J101" s="32"/>
      <c r="K101" s="49"/>
      <c r="L101" s="22">
        <v>44586</v>
      </c>
      <c r="M101" s="57"/>
      <c r="N101" s="58" t="s">
        <v>100</v>
      </c>
      <c r="O101" s="57">
        <v>1</v>
      </c>
      <c r="P101" s="25"/>
      <c r="Q101" s="54" t="s">
        <v>27</v>
      </c>
      <c r="R101" s="27"/>
      <c r="S101" s="28"/>
      <c r="T101" s="29">
        <v>16.95</v>
      </c>
      <c r="U101" s="29">
        <f t="shared" si="6"/>
        <v>16.95</v>
      </c>
      <c r="V101" s="29">
        <f t="shared" si="7"/>
        <v>16.95</v>
      </c>
      <c r="W101" s="29">
        <f t="shared" si="8"/>
        <v>3.0509999999999997</v>
      </c>
      <c r="X101" s="29">
        <f t="shared" si="5"/>
        <v>20.000999999999998</v>
      </c>
      <c r="Y101" s="24"/>
    </row>
    <row r="102" spans="1:25" ht="31.2">
      <c r="A102" s="22">
        <v>44586</v>
      </c>
      <c r="B102" s="23" t="s">
        <v>319</v>
      </c>
      <c r="C102" s="23" t="s">
        <v>21</v>
      </c>
      <c r="D102" s="55" t="s">
        <v>22</v>
      </c>
      <c r="E102" s="23">
        <v>1</v>
      </c>
      <c r="F102" s="23" t="s">
        <v>24</v>
      </c>
      <c r="G102" s="23">
        <v>1</v>
      </c>
      <c r="H102" s="23" t="s">
        <v>28</v>
      </c>
      <c r="I102" s="19" t="s">
        <v>82</v>
      </c>
      <c r="J102" s="32"/>
      <c r="K102" s="49"/>
      <c r="L102" s="22">
        <v>44586</v>
      </c>
      <c r="M102" s="57"/>
      <c r="N102" s="58" t="s">
        <v>101</v>
      </c>
      <c r="O102" s="57">
        <v>1</v>
      </c>
      <c r="P102" s="25"/>
      <c r="Q102" s="54" t="s">
        <v>27</v>
      </c>
      <c r="R102" s="27"/>
      <c r="S102" s="28"/>
      <c r="T102" s="29">
        <v>10.17</v>
      </c>
      <c r="U102" s="29">
        <f t="shared" si="6"/>
        <v>10.17</v>
      </c>
      <c r="V102" s="29">
        <f t="shared" si="7"/>
        <v>10.17</v>
      </c>
      <c r="W102" s="29">
        <f t="shared" si="8"/>
        <v>1.8306</v>
      </c>
      <c r="X102" s="29">
        <f t="shared" si="5"/>
        <v>12.0006</v>
      </c>
      <c r="Y102" s="24"/>
    </row>
    <row r="103" spans="1:25" ht="31.2">
      <c r="A103" s="22">
        <v>44586</v>
      </c>
      <c r="B103" s="23" t="s">
        <v>319</v>
      </c>
      <c r="C103" s="23" t="s">
        <v>21</v>
      </c>
      <c r="D103" s="55" t="s">
        <v>22</v>
      </c>
      <c r="E103" s="23">
        <v>1</v>
      </c>
      <c r="F103" s="23" t="s">
        <v>24</v>
      </c>
      <c r="G103" s="23">
        <v>1</v>
      </c>
      <c r="H103" s="23" t="s">
        <v>28</v>
      </c>
      <c r="I103" s="19" t="s">
        <v>49</v>
      </c>
      <c r="J103" s="32"/>
      <c r="K103" s="49"/>
      <c r="L103" s="22">
        <v>44586</v>
      </c>
      <c r="M103" s="57"/>
      <c r="N103" s="58" t="s">
        <v>101</v>
      </c>
      <c r="O103" s="57">
        <v>1</v>
      </c>
      <c r="P103" s="25"/>
      <c r="Q103" s="54" t="s">
        <v>27</v>
      </c>
      <c r="R103" s="27"/>
      <c r="S103" s="28"/>
      <c r="T103" s="29">
        <v>21.19</v>
      </c>
      <c r="U103" s="29">
        <f t="shared" si="6"/>
        <v>21.19</v>
      </c>
      <c r="V103" s="29">
        <f t="shared" si="7"/>
        <v>21.19</v>
      </c>
      <c r="W103" s="29">
        <f t="shared" si="8"/>
        <v>3.8142</v>
      </c>
      <c r="X103" s="29">
        <f t="shared" si="5"/>
        <v>25.004200000000001</v>
      </c>
      <c r="Y103" s="24"/>
    </row>
    <row r="104" spans="1:25" ht="31.2">
      <c r="A104" s="22">
        <v>44586</v>
      </c>
      <c r="B104" s="23" t="s">
        <v>320</v>
      </c>
      <c r="C104" s="23" t="s">
        <v>21</v>
      </c>
      <c r="D104" s="55" t="s">
        <v>22</v>
      </c>
      <c r="E104" s="23">
        <v>1</v>
      </c>
      <c r="F104" s="23" t="s">
        <v>24</v>
      </c>
      <c r="G104" s="23">
        <v>1</v>
      </c>
      <c r="H104" s="23" t="s">
        <v>28</v>
      </c>
      <c r="I104" s="19" t="s">
        <v>49</v>
      </c>
      <c r="J104" s="32"/>
      <c r="K104" s="49"/>
      <c r="L104" s="22">
        <v>44586</v>
      </c>
      <c r="M104" s="57"/>
      <c r="N104" s="58" t="s">
        <v>102</v>
      </c>
      <c r="O104" s="57">
        <v>1</v>
      </c>
      <c r="P104" s="25"/>
      <c r="Q104" s="54" t="s">
        <v>27</v>
      </c>
      <c r="R104" s="27"/>
      <c r="S104" s="28"/>
      <c r="T104" s="29">
        <v>21.19</v>
      </c>
      <c r="U104" s="29">
        <f t="shared" si="6"/>
        <v>21.19</v>
      </c>
      <c r="V104" s="29">
        <f t="shared" si="7"/>
        <v>21.19</v>
      </c>
      <c r="W104" s="29">
        <f t="shared" si="8"/>
        <v>3.8142</v>
      </c>
      <c r="X104" s="29">
        <f t="shared" si="5"/>
        <v>25.004200000000001</v>
      </c>
      <c r="Y104" s="24"/>
    </row>
    <row r="105" spans="1:25" ht="31.2">
      <c r="A105" s="22">
        <v>44586</v>
      </c>
      <c r="B105" s="23" t="s">
        <v>320</v>
      </c>
      <c r="C105" s="23" t="s">
        <v>21</v>
      </c>
      <c r="D105" s="55" t="s">
        <v>22</v>
      </c>
      <c r="E105" s="23">
        <v>1</v>
      </c>
      <c r="F105" s="23" t="s">
        <v>24</v>
      </c>
      <c r="G105" s="23">
        <v>1</v>
      </c>
      <c r="H105" s="23" t="s">
        <v>28</v>
      </c>
      <c r="I105" s="56" t="s">
        <v>103</v>
      </c>
      <c r="J105" s="32"/>
      <c r="K105" s="49"/>
      <c r="L105" s="22">
        <v>44586</v>
      </c>
      <c r="M105" s="57"/>
      <c r="N105" s="58" t="s">
        <v>102</v>
      </c>
      <c r="O105" s="57">
        <v>1</v>
      </c>
      <c r="P105" s="25"/>
      <c r="Q105" s="54" t="s">
        <v>27</v>
      </c>
      <c r="R105" s="27"/>
      <c r="S105" s="28"/>
      <c r="T105" s="29">
        <v>8.0500000000000007</v>
      </c>
      <c r="U105" s="29">
        <f t="shared" si="6"/>
        <v>8.0500000000000007</v>
      </c>
      <c r="V105" s="29">
        <f t="shared" si="7"/>
        <v>8.0500000000000007</v>
      </c>
      <c r="W105" s="29">
        <f t="shared" si="8"/>
        <v>1.4490000000000001</v>
      </c>
      <c r="X105" s="29">
        <f t="shared" si="5"/>
        <v>9.4990000000000006</v>
      </c>
      <c r="Y105" s="24"/>
    </row>
    <row r="106" spans="1:25" ht="31.2">
      <c r="A106" s="22">
        <v>44586</v>
      </c>
      <c r="B106" s="23" t="s">
        <v>320</v>
      </c>
      <c r="C106" s="23" t="s">
        <v>21</v>
      </c>
      <c r="D106" s="55" t="s">
        <v>22</v>
      </c>
      <c r="E106" s="23">
        <v>1</v>
      </c>
      <c r="F106" s="23" t="s">
        <v>24</v>
      </c>
      <c r="G106" s="23">
        <v>0.5</v>
      </c>
      <c r="H106" s="23" t="s">
        <v>28</v>
      </c>
      <c r="I106" s="56" t="s">
        <v>82</v>
      </c>
      <c r="J106" s="32"/>
      <c r="K106" s="49"/>
      <c r="L106" s="22">
        <v>44586</v>
      </c>
      <c r="M106" s="57"/>
      <c r="N106" s="58" t="s">
        <v>102</v>
      </c>
      <c r="O106" s="57">
        <v>1</v>
      </c>
      <c r="P106" s="25"/>
      <c r="Q106" s="54" t="s">
        <v>27</v>
      </c>
      <c r="R106" s="27"/>
      <c r="S106" s="28"/>
      <c r="T106" s="29">
        <v>6.78</v>
      </c>
      <c r="U106" s="29">
        <f t="shared" si="6"/>
        <v>6.78</v>
      </c>
      <c r="V106" s="29">
        <f t="shared" si="7"/>
        <v>6.78</v>
      </c>
      <c r="W106" s="29">
        <f t="shared" si="8"/>
        <v>1.2203999999999999</v>
      </c>
      <c r="X106" s="29">
        <f t="shared" si="5"/>
        <v>8.0004000000000008</v>
      </c>
      <c r="Y106" s="24"/>
    </row>
    <row r="107" spans="1:25" ht="31.2">
      <c r="A107" s="22">
        <v>44586</v>
      </c>
      <c r="B107" s="23" t="s">
        <v>320</v>
      </c>
      <c r="C107" s="23" t="s">
        <v>21</v>
      </c>
      <c r="D107" s="55" t="s">
        <v>22</v>
      </c>
      <c r="E107" s="23">
        <v>1</v>
      </c>
      <c r="F107" s="23" t="s">
        <v>24</v>
      </c>
      <c r="G107" s="23">
        <v>0.5</v>
      </c>
      <c r="H107" s="23" t="s">
        <v>28</v>
      </c>
      <c r="I107" s="56" t="s">
        <v>40</v>
      </c>
      <c r="J107" s="32"/>
      <c r="K107" s="49"/>
      <c r="L107" s="22">
        <v>44586</v>
      </c>
      <c r="M107" s="57"/>
      <c r="N107" s="58" t="s">
        <v>102</v>
      </c>
      <c r="O107" s="57">
        <v>1</v>
      </c>
      <c r="P107" s="25"/>
      <c r="Q107" s="54" t="s">
        <v>27</v>
      </c>
      <c r="R107" s="27"/>
      <c r="S107" s="28"/>
      <c r="T107" s="29">
        <v>6.78</v>
      </c>
      <c r="U107" s="29">
        <f t="shared" si="6"/>
        <v>6.78</v>
      </c>
      <c r="V107" s="29">
        <f t="shared" si="7"/>
        <v>6.78</v>
      </c>
      <c r="W107" s="29">
        <f t="shared" si="8"/>
        <v>1.2203999999999999</v>
      </c>
      <c r="X107" s="29">
        <f t="shared" si="5"/>
        <v>8.0004000000000008</v>
      </c>
      <c r="Y107" s="24"/>
    </row>
    <row r="108" spans="1:25" ht="31.2">
      <c r="A108" s="22">
        <v>44586</v>
      </c>
      <c r="B108" s="23" t="s">
        <v>320</v>
      </c>
      <c r="C108" s="23" t="s">
        <v>21</v>
      </c>
      <c r="D108" s="55" t="s">
        <v>22</v>
      </c>
      <c r="E108" s="23">
        <v>1</v>
      </c>
      <c r="F108" s="23" t="s">
        <v>24</v>
      </c>
      <c r="G108" s="23">
        <v>1</v>
      </c>
      <c r="H108" s="23" t="s">
        <v>28</v>
      </c>
      <c r="I108" s="56" t="s">
        <v>41</v>
      </c>
      <c r="J108" s="32"/>
      <c r="K108" s="49"/>
      <c r="L108" s="22">
        <v>44586</v>
      </c>
      <c r="M108" s="57"/>
      <c r="N108" s="58" t="s">
        <v>104</v>
      </c>
      <c r="O108" s="57">
        <v>1</v>
      </c>
      <c r="P108" s="25"/>
      <c r="Q108" s="54" t="s">
        <v>27</v>
      </c>
      <c r="R108" s="27"/>
      <c r="S108" s="28"/>
      <c r="T108" s="29">
        <v>9.75</v>
      </c>
      <c r="U108" s="29">
        <f t="shared" si="6"/>
        <v>9.75</v>
      </c>
      <c r="V108" s="29">
        <f t="shared" si="7"/>
        <v>9.75</v>
      </c>
      <c r="W108" s="29">
        <f t="shared" si="8"/>
        <v>1.7549999999999999</v>
      </c>
      <c r="X108" s="29">
        <f t="shared" si="5"/>
        <v>11.504999999999999</v>
      </c>
      <c r="Y108" s="24"/>
    </row>
    <row r="109" spans="1:25" ht="31.2">
      <c r="A109" s="22">
        <v>44586</v>
      </c>
      <c r="B109" s="23" t="s">
        <v>320</v>
      </c>
      <c r="C109" s="23" t="s">
        <v>21</v>
      </c>
      <c r="D109" s="55" t="s">
        <v>22</v>
      </c>
      <c r="E109" s="23">
        <v>1</v>
      </c>
      <c r="F109" s="23" t="s">
        <v>24</v>
      </c>
      <c r="G109" s="23">
        <v>1</v>
      </c>
      <c r="H109" s="23" t="s">
        <v>28</v>
      </c>
      <c r="I109" s="56" t="s">
        <v>92</v>
      </c>
      <c r="J109" s="61"/>
      <c r="K109" s="49"/>
      <c r="L109" s="22">
        <v>44586</v>
      </c>
      <c r="M109" s="57"/>
      <c r="N109" s="58" t="s">
        <v>104</v>
      </c>
      <c r="O109" s="57">
        <v>1</v>
      </c>
      <c r="P109" s="25"/>
      <c r="Q109" s="54" t="s">
        <v>27</v>
      </c>
      <c r="R109" s="27"/>
      <c r="S109" s="28"/>
      <c r="T109" s="29">
        <v>9.32</v>
      </c>
      <c r="U109" s="29">
        <f t="shared" si="6"/>
        <v>9.32</v>
      </c>
      <c r="V109" s="29">
        <f t="shared" si="7"/>
        <v>9.32</v>
      </c>
      <c r="W109" s="29">
        <f t="shared" si="8"/>
        <v>1.6776</v>
      </c>
      <c r="X109" s="29">
        <f t="shared" si="5"/>
        <v>10.9976</v>
      </c>
      <c r="Y109" s="24"/>
    </row>
    <row r="110" spans="1:25" ht="31.2">
      <c r="A110" s="22">
        <v>44586</v>
      </c>
      <c r="B110" s="35" t="s">
        <v>321</v>
      </c>
      <c r="C110" s="23" t="s">
        <v>21</v>
      </c>
      <c r="D110" s="23" t="s">
        <v>22</v>
      </c>
      <c r="E110" s="23">
        <v>1</v>
      </c>
      <c r="F110" s="23" t="s">
        <v>24</v>
      </c>
      <c r="G110" s="23">
        <v>4</v>
      </c>
      <c r="H110" s="23" t="s">
        <v>28</v>
      </c>
      <c r="I110" s="56" t="s">
        <v>49</v>
      </c>
      <c r="J110" s="61"/>
      <c r="K110" s="49"/>
      <c r="L110" s="22">
        <v>44586</v>
      </c>
      <c r="M110" s="57"/>
      <c r="N110" s="58" t="s">
        <v>105</v>
      </c>
      <c r="O110" s="57">
        <v>1</v>
      </c>
      <c r="P110" s="25"/>
      <c r="Q110" s="54" t="s">
        <v>27</v>
      </c>
      <c r="R110" s="27"/>
      <c r="S110" s="28"/>
      <c r="T110" s="29">
        <v>72.034000000000006</v>
      </c>
      <c r="U110" s="29">
        <f t="shared" si="6"/>
        <v>72.034000000000006</v>
      </c>
      <c r="V110" s="29">
        <f t="shared" si="7"/>
        <v>72.034000000000006</v>
      </c>
      <c r="W110" s="29">
        <f t="shared" si="8"/>
        <v>12.96612</v>
      </c>
      <c r="X110" s="29">
        <f t="shared" si="5"/>
        <v>85.00012000000001</v>
      </c>
      <c r="Y110" s="24"/>
    </row>
    <row r="111" spans="1:25" ht="31.2">
      <c r="A111" s="22">
        <v>44586</v>
      </c>
      <c r="B111" s="35" t="s">
        <v>321</v>
      </c>
      <c r="C111" s="23" t="s">
        <v>21</v>
      </c>
      <c r="D111" s="23" t="s">
        <v>22</v>
      </c>
      <c r="E111" s="23">
        <v>1</v>
      </c>
      <c r="F111" s="23" t="s">
        <v>24</v>
      </c>
      <c r="G111" s="23">
        <v>4</v>
      </c>
      <c r="H111" s="23" t="s">
        <v>28</v>
      </c>
      <c r="I111" s="56" t="s">
        <v>57</v>
      </c>
      <c r="J111" s="61"/>
      <c r="K111" s="49"/>
      <c r="L111" s="22">
        <v>44586</v>
      </c>
      <c r="M111" s="57"/>
      <c r="N111" s="58" t="s">
        <v>105</v>
      </c>
      <c r="O111" s="57">
        <v>1</v>
      </c>
      <c r="P111" s="25"/>
      <c r="Q111" s="54" t="s">
        <v>27</v>
      </c>
      <c r="R111" s="27"/>
      <c r="S111" s="28"/>
      <c r="T111" s="29">
        <v>16.95</v>
      </c>
      <c r="U111" s="29">
        <f t="shared" si="6"/>
        <v>16.95</v>
      </c>
      <c r="V111" s="29">
        <f t="shared" si="7"/>
        <v>16.95</v>
      </c>
      <c r="W111" s="29">
        <f t="shared" si="8"/>
        <v>3.0509999999999997</v>
      </c>
      <c r="X111" s="29">
        <f t="shared" si="5"/>
        <v>20.000999999999998</v>
      </c>
      <c r="Y111" s="24"/>
    </row>
    <row r="112" spans="1:25" ht="31.2">
      <c r="A112" s="22">
        <v>44586</v>
      </c>
      <c r="B112" s="35" t="s">
        <v>322</v>
      </c>
      <c r="C112" s="23" t="s">
        <v>21</v>
      </c>
      <c r="D112" s="23" t="s">
        <v>22</v>
      </c>
      <c r="E112" s="23">
        <v>1</v>
      </c>
      <c r="F112" s="23" t="s">
        <v>24</v>
      </c>
      <c r="G112" s="23">
        <v>4</v>
      </c>
      <c r="H112" s="23" t="s">
        <v>28</v>
      </c>
      <c r="I112" s="56" t="s">
        <v>106</v>
      </c>
      <c r="J112" s="61"/>
      <c r="K112" s="49"/>
      <c r="L112" s="22">
        <v>44586</v>
      </c>
      <c r="M112" s="57"/>
      <c r="N112" s="58" t="s">
        <v>107</v>
      </c>
      <c r="O112" s="57">
        <v>1</v>
      </c>
      <c r="P112" s="25"/>
      <c r="Q112" s="54" t="s">
        <v>27</v>
      </c>
      <c r="R112" s="27"/>
      <c r="S112" s="28"/>
      <c r="T112" s="29">
        <v>17.8</v>
      </c>
      <c r="U112" s="29">
        <f t="shared" si="6"/>
        <v>17.8</v>
      </c>
      <c r="V112" s="29">
        <f t="shared" si="7"/>
        <v>17.8</v>
      </c>
      <c r="W112" s="29">
        <f t="shared" si="8"/>
        <v>3.2040000000000002</v>
      </c>
      <c r="X112" s="29">
        <f t="shared" si="5"/>
        <v>21.004000000000001</v>
      </c>
      <c r="Y112" s="24"/>
    </row>
    <row r="113" spans="1:25" ht="109.2">
      <c r="A113" s="22">
        <v>44586</v>
      </c>
      <c r="B113" s="18" t="s">
        <v>322</v>
      </c>
      <c r="C113" s="23" t="s">
        <v>21</v>
      </c>
      <c r="D113" s="23" t="s">
        <v>22</v>
      </c>
      <c r="E113" s="23">
        <v>1</v>
      </c>
      <c r="F113" s="23" t="s">
        <v>24</v>
      </c>
      <c r="G113" s="23">
        <v>1</v>
      </c>
      <c r="H113" s="23" t="s">
        <v>108</v>
      </c>
      <c r="I113" s="19" t="s">
        <v>74</v>
      </c>
      <c r="J113" s="61"/>
      <c r="K113" s="49"/>
      <c r="L113" s="22">
        <v>44586</v>
      </c>
      <c r="M113" s="57"/>
      <c r="N113" s="58" t="s">
        <v>109</v>
      </c>
      <c r="O113" s="57">
        <v>1</v>
      </c>
      <c r="P113" s="25"/>
      <c r="Q113" s="54" t="s">
        <v>27</v>
      </c>
      <c r="R113" s="27"/>
      <c r="S113" s="28"/>
      <c r="T113" s="29">
        <v>25.42</v>
      </c>
      <c r="U113" s="29">
        <f t="shared" si="6"/>
        <v>25.42</v>
      </c>
      <c r="V113" s="29">
        <f t="shared" si="7"/>
        <v>25.42</v>
      </c>
      <c r="W113" s="29">
        <f t="shared" si="8"/>
        <v>4.5756000000000006</v>
      </c>
      <c r="X113" s="29">
        <f t="shared" si="5"/>
        <v>29.995600000000003</v>
      </c>
      <c r="Y113" s="24"/>
    </row>
    <row r="114" spans="1:25" ht="31.2">
      <c r="A114" s="22">
        <v>44586</v>
      </c>
      <c r="B114" s="18" t="s">
        <v>323</v>
      </c>
      <c r="C114" s="23" t="s">
        <v>21</v>
      </c>
      <c r="D114" s="23" t="s">
        <v>22</v>
      </c>
      <c r="E114" s="23">
        <v>1</v>
      </c>
      <c r="F114" s="23" t="s">
        <v>24</v>
      </c>
      <c r="G114" s="23">
        <v>1</v>
      </c>
      <c r="H114" s="23" t="s">
        <v>28</v>
      </c>
      <c r="I114" s="56" t="s">
        <v>49</v>
      </c>
      <c r="J114" s="32"/>
      <c r="K114" s="49"/>
      <c r="L114" s="22">
        <v>44586</v>
      </c>
      <c r="M114" s="57"/>
      <c r="N114" s="58" t="s">
        <v>110</v>
      </c>
      <c r="O114" s="57">
        <v>1</v>
      </c>
      <c r="P114" s="25"/>
      <c r="Q114" s="54" t="s">
        <v>27</v>
      </c>
      <c r="R114" s="27"/>
      <c r="S114" s="28"/>
      <c r="T114" s="29">
        <v>21.19</v>
      </c>
      <c r="U114" s="29">
        <f t="shared" si="6"/>
        <v>21.19</v>
      </c>
      <c r="V114" s="29">
        <f t="shared" si="7"/>
        <v>21.19</v>
      </c>
      <c r="W114" s="29">
        <f t="shared" si="8"/>
        <v>3.8142</v>
      </c>
      <c r="X114" s="29">
        <f t="shared" si="5"/>
        <v>25.004200000000001</v>
      </c>
      <c r="Y114" s="24"/>
    </row>
    <row r="115" spans="1:25" ht="31.2">
      <c r="A115" s="22">
        <v>44586</v>
      </c>
      <c r="B115" s="18" t="s">
        <v>323</v>
      </c>
      <c r="C115" s="23" t="s">
        <v>21</v>
      </c>
      <c r="D115" s="23" t="s">
        <v>22</v>
      </c>
      <c r="E115" s="23">
        <v>1</v>
      </c>
      <c r="F115" s="23" t="s">
        <v>24</v>
      </c>
      <c r="G115" s="23">
        <v>1</v>
      </c>
      <c r="H115" s="23" t="s">
        <v>28</v>
      </c>
      <c r="I115" s="56" t="s">
        <v>49</v>
      </c>
      <c r="J115" s="32"/>
      <c r="K115" s="49"/>
      <c r="L115" s="22">
        <v>44586</v>
      </c>
      <c r="M115" s="57"/>
      <c r="N115" s="58" t="s">
        <v>111</v>
      </c>
      <c r="O115" s="57">
        <v>1</v>
      </c>
      <c r="P115" s="25"/>
      <c r="Q115" s="54" t="s">
        <v>27</v>
      </c>
      <c r="R115" s="27"/>
      <c r="S115" s="28"/>
      <c r="T115" s="29">
        <v>21.19</v>
      </c>
      <c r="U115" s="29">
        <f t="shared" si="6"/>
        <v>21.19</v>
      </c>
      <c r="V115" s="29">
        <f t="shared" si="7"/>
        <v>21.19</v>
      </c>
      <c r="W115" s="29">
        <f t="shared" si="8"/>
        <v>3.8142</v>
      </c>
      <c r="X115" s="29">
        <f t="shared" si="5"/>
        <v>25.004200000000001</v>
      </c>
      <c r="Y115" s="24"/>
    </row>
    <row r="116" spans="1:25" ht="31.2">
      <c r="A116" s="22">
        <v>44587</v>
      </c>
      <c r="B116" s="18" t="s">
        <v>324</v>
      </c>
      <c r="C116" s="23" t="s">
        <v>21</v>
      </c>
      <c r="D116" s="23" t="s">
        <v>22</v>
      </c>
      <c r="E116" s="23">
        <v>1</v>
      </c>
      <c r="F116" s="23" t="s">
        <v>24</v>
      </c>
      <c r="G116" s="23">
        <v>1</v>
      </c>
      <c r="H116" s="23" t="s">
        <v>28</v>
      </c>
      <c r="I116" s="56" t="s">
        <v>49</v>
      </c>
      <c r="J116" s="32"/>
      <c r="K116" s="49"/>
      <c r="L116" s="22">
        <v>44587</v>
      </c>
      <c r="M116" s="57"/>
      <c r="N116" s="58" t="s">
        <v>112</v>
      </c>
      <c r="O116" s="57">
        <v>1</v>
      </c>
      <c r="P116" s="25"/>
      <c r="Q116" s="54" t="s">
        <v>27</v>
      </c>
      <c r="R116" s="27"/>
      <c r="S116" s="28"/>
      <c r="T116" s="29">
        <v>21.19</v>
      </c>
      <c r="U116" s="29">
        <f t="shared" si="6"/>
        <v>21.19</v>
      </c>
      <c r="V116" s="29">
        <f t="shared" si="7"/>
        <v>21.19</v>
      </c>
      <c r="W116" s="29">
        <f t="shared" si="8"/>
        <v>3.8142</v>
      </c>
      <c r="X116" s="29">
        <f t="shared" si="5"/>
        <v>25.004200000000001</v>
      </c>
      <c r="Y116" s="24"/>
    </row>
    <row r="117" spans="1:25" ht="31.2">
      <c r="A117" s="22">
        <v>44587</v>
      </c>
      <c r="B117" s="16" t="s">
        <v>324</v>
      </c>
      <c r="C117" s="23" t="s">
        <v>21</v>
      </c>
      <c r="D117" s="23" t="s">
        <v>22</v>
      </c>
      <c r="E117" s="23">
        <v>1</v>
      </c>
      <c r="F117" s="23" t="s">
        <v>24</v>
      </c>
      <c r="G117" s="23">
        <v>0.5</v>
      </c>
      <c r="H117" s="23" t="s">
        <v>28</v>
      </c>
      <c r="I117" s="56" t="s">
        <v>82</v>
      </c>
      <c r="J117" s="32"/>
      <c r="K117" s="49"/>
      <c r="L117" s="22">
        <v>44587</v>
      </c>
      <c r="M117" s="59"/>
      <c r="N117" s="58" t="s">
        <v>112</v>
      </c>
      <c r="O117" s="57">
        <v>1</v>
      </c>
      <c r="P117" s="25"/>
      <c r="Q117" s="54" t="s">
        <v>27</v>
      </c>
      <c r="R117" s="27"/>
      <c r="S117" s="28"/>
      <c r="T117" s="29">
        <v>6.78</v>
      </c>
      <c r="U117" s="29">
        <f t="shared" si="6"/>
        <v>6.78</v>
      </c>
      <c r="V117" s="29">
        <f t="shared" si="7"/>
        <v>6.78</v>
      </c>
      <c r="W117" s="29">
        <f t="shared" si="8"/>
        <v>1.2203999999999999</v>
      </c>
      <c r="X117" s="29">
        <f t="shared" si="5"/>
        <v>8.0004000000000008</v>
      </c>
      <c r="Y117" s="24"/>
    </row>
    <row r="118" spans="1:25" ht="31.2">
      <c r="A118" s="22">
        <v>44587</v>
      </c>
      <c r="B118" s="16" t="s">
        <v>325</v>
      </c>
      <c r="C118" s="23" t="s">
        <v>21</v>
      </c>
      <c r="D118" s="23" t="s">
        <v>22</v>
      </c>
      <c r="E118" s="23">
        <v>1</v>
      </c>
      <c r="F118" s="23" t="s">
        <v>24</v>
      </c>
      <c r="G118" s="23">
        <v>4</v>
      </c>
      <c r="H118" s="23" t="s">
        <v>28</v>
      </c>
      <c r="I118" s="56" t="s">
        <v>49</v>
      </c>
      <c r="J118" s="32"/>
      <c r="K118" s="49"/>
      <c r="L118" s="22">
        <v>44587</v>
      </c>
      <c r="M118" s="59"/>
      <c r="N118" s="58">
        <v>61</v>
      </c>
      <c r="O118" s="57">
        <v>1</v>
      </c>
      <c r="P118" s="25"/>
      <c r="Q118" s="54" t="s">
        <v>27</v>
      </c>
      <c r="R118" s="27"/>
      <c r="S118" s="28"/>
      <c r="T118" s="29">
        <v>72.034000000000006</v>
      </c>
      <c r="U118" s="29">
        <f t="shared" si="6"/>
        <v>72.034000000000006</v>
      </c>
      <c r="V118" s="29">
        <f t="shared" si="7"/>
        <v>72.034000000000006</v>
      </c>
      <c r="W118" s="29">
        <f t="shared" si="8"/>
        <v>12.96612</v>
      </c>
      <c r="X118" s="29">
        <f t="shared" si="5"/>
        <v>85.00012000000001</v>
      </c>
      <c r="Y118" s="24"/>
    </row>
    <row r="119" spans="1:25" ht="31.2">
      <c r="A119" s="22">
        <v>44587</v>
      </c>
      <c r="B119" s="16" t="s">
        <v>326</v>
      </c>
      <c r="C119" s="23" t="s">
        <v>21</v>
      </c>
      <c r="D119" s="23" t="s">
        <v>22</v>
      </c>
      <c r="E119" s="23">
        <v>3</v>
      </c>
      <c r="F119" s="23" t="s">
        <v>24</v>
      </c>
      <c r="G119" s="23">
        <v>4</v>
      </c>
      <c r="H119" s="23" t="s">
        <v>28</v>
      </c>
      <c r="I119" s="56" t="s">
        <v>113</v>
      </c>
      <c r="J119" s="32"/>
      <c r="K119" s="49"/>
      <c r="L119" s="22">
        <v>44587</v>
      </c>
      <c r="M119" s="59"/>
      <c r="N119" s="58">
        <v>62</v>
      </c>
      <c r="O119" s="57">
        <v>1</v>
      </c>
      <c r="P119" s="25"/>
      <c r="Q119" s="54" t="s">
        <v>27</v>
      </c>
      <c r="R119" s="27"/>
      <c r="S119" s="28"/>
      <c r="T119" s="29">
        <v>34.75</v>
      </c>
      <c r="U119" s="29">
        <f t="shared" si="6"/>
        <v>104.25</v>
      </c>
      <c r="V119" s="29">
        <f t="shared" si="7"/>
        <v>104.25</v>
      </c>
      <c r="W119" s="29">
        <f t="shared" si="8"/>
        <v>18.765000000000001</v>
      </c>
      <c r="X119" s="29">
        <f t="shared" si="5"/>
        <v>123.015</v>
      </c>
      <c r="Y119" s="24"/>
    </row>
    <row r="120" spans="1:25" ht="31.2">
      <c r="A120" s="22">
        <v>44588</v>
      </c>
      <c r="B120" s="16" t="s">
        <v>327</v>
      </c>
      <c r="C120" s="23" t="s">
        <v>21</v>
      </c>
      <c r="D120" s="23" t="s">
        <v>22</v>
      </c>
      <c r="E120" s="23">
        <v>1</v>
      </c>
      <c r="F120" s="23" t="s">
        <v>24</v>
      </c>
      <c r="G120" s="23">
        <v>0.5</v>
      </c>
      <c r="H120" s="23" t="s">
        <v>28</v>
      </c>
      <c r="I120" s="56" t="s">
        <v>71</v>
      </c>
      <c r="J120" s="32"/>
      <c r="K120" s="49"/>
      <c r="L120" s="22">
        <v>44588</v>
      </c>
      <c r="M120" s="59"/>
      <c r="N120" s="58">
        <v>63</v>
      </c>
      <c r="O120" s="57">
        <v>1</v>
      </c>
      <c r="P120" s="25"/>
      <c r="Q120" s="54" t="s">
        <v>27</v>
      </c>
      <c r="R120" s="27"/>
      <c r="S120" s="28"/>
      <c r="T120" s="29">
        <v>6.78</v>
      </c>
      <c r="U120" s="29">
        <f t="shared" si="6"/>
        <v>6.78</v>
      </c>
      <c r="V120" s="29">
        <f t="shared" si="7"/>
        <v>6.78</v>
      </c>
      <c r="W120" s="29">
        <f t="shared" si="8"/>
        <v>1.2203999999999999</v>
      </c>
      <c r="X120" s="29">
        <f t="shared" si="5"/>
        <v>8.0004000000000008</v>
      </c>
      <c r="Y120" s="24"/>
    </row>
    <row r="121" spans="1:25" ht="31.2">
      <c r="A121" s="22">
        <v>44588</v>
      </c>
      <c r="B121" s="16" t="s">
        <v>327</v>
      </c>
      <c r="C121" s="23" t="s">
        <v>21</v>
      </c>
      <c r="D121" s="23" t="s">
        <v>22</v>
      </c>
      <c r="E121" s="23">
        <v>1</v>
      </c>
      <c r="F121" s="23" t="s">
        <v>24</v>
      </c>
      <c r="G121" s="23">
        <v>1</v>
      </c>
      <c r="H121" s="23" t="s">
        <v>28</v>
      </c>
      <c r="I121" s="56" t="s">
        <v>48</v>
      </c>
      <c r="J121" s="32"/>
      <c r="K121" s="49"/>
      <c r="L121" s="22">
        <v>44588</v>
      </c>
      <c r="M121" s="59"/>
      <c r="N121" s="58">
        <v>63</v>
      </c>
      <c r="O121" s="57">
        <v>1</v>
      </c>
      <c r="P121" s="25"/>
      <c r="Q121" s="54" t="s">
        <v>27</v>
      </c>
      <c r="R121" s="27"/>
      <c r="S121" s="28"/>
      <c r="T121" s="29">
        <v>21.19</v>
      </c>
      <c r="U121" s="29">
        <f t="shared" si="6"/>
        <v>21.19</v>
      </c>
      <c r="V121" s="29">
        <f t="shared" si="7"/>
        <v>21.19</v>
      </c>
      <c r="W121" s="29">
        <f t="shared" si="8"/>
        <v>3.8142</v>
      </c>
      <c r="X121" s="29">
        <f t="shared" si="5"/>
        <v>25.004200000000001</v>
      </c>
      <c r="Y121" s="24"/>
    </row>
    <row r="122" spans="1:25" ht="15.6">
      <c r="A122" s="22">
        <v>44588</v>
      </c>
      <c r="B122" s="16" t="s">
        <v>328</v>
      </c>
      <c r="C122" s="23" t="s">
        <v>21</v>
      </c>
      <c r="D122" s="23" t="s">
        <v>22</v>
      </c>
      <c r="E122" s="23">
        <v>1</v>
      </c>
      <c r="F122" s="23" t="s">
        <v>24</v>
      </c>
      <c r="G122" s="23">
        <v>4</v>
      </c>
      <c r="H122" s="23" t="s">
        <v>28</v>
      </c>
      <c r="I122" s="56" t="s">
        <v>114</v>
      </c>
      <c r="J122" s="32"/>
      <c r="K122" s="49"/>
      <c r="L122" s="22">
        <v>44588</v>
      </c>
      <c r="M122" s="59"/>
      <c r="N122" s="58">
        <v>64</v>
      </c>
      <c r="O122" s="57">
        <v>1</v>
      </c>
      <c r="P122" s="25"/>
      <c r="Q122" s="54" t="s">
        <v>27</v>
      </c>
      <c r="R122" s="27"/>
      <c r="S122" s="28"/>
      <c r="T122" s="29">
        <v>27.97</v>
      </c>
      <c r="U122" s="29">
        <f t="shared" si="6"/>
        <v>27.97</v>
      </c>
      <c r="V122" s="29">
        <f t="shared" si="7"/>
        <v>27.97</v>
      </c>
      <c r="W122" s="29">
        <f t="shared" si="8"/>
        <v>5.0345999999999993</v>
      </c>
      <c r="X122" s="29">
        <f t="shared" si="5"/>
        <v>33.004599999999996</v>
      </c>
      <c r="Y122" s="24"/>
    </row>
    <row r="123" spans="1:25" ht="31.2">
      <c r="A123" s="22">
        <v>44588</v>
      </c>
      <c r="B123" s="23" t="s">
        <v>320</v>
      </c>
      <c r="C123" s="23" t="s">
        <v>21</v>
      </c>
      <c r="D123" s="23" t="s">
        <v>22</v>
      </c>
      <c r="E123" s="23">
        <v>1</v>
      </c>
      <c r="F123" s="23" t="s">
        <v>24</v>
      </c>
      <c r="G123" s="57">
        <v>4</v>
      </c>
      <c r="H123" s="23" t="s">
        <v>28</v>
      </c>
      <c r="I123" s="56" t="s">
        <v>40</v>
      </c>
      <c r="J123" s="61"/>
      <c r="K123" s="49"/>
      <c r="L123" s="22">
        <v>44619</v>
      </c>
      <c r="M123" s="57"/>
      <c r="N123" s="58" t="s">
        <v>115</v>
      </c>
      <c r="O123" s="57">
        <v>1</v>
      </c>
      <c r="P123" s="25"/>
      <c r="Q123" s="54" t="s">
        <v>27</v>
      </c>
      <c r="R123" s="27"/>
      <c r="S123" s="28"/>
      <c r="T123" s="29">
        <v>16.95</v>
      </c>
      <c r="U123" s="29">
        <f t="shared" si="6"/>
        <v>16.95</v>
      </c>
      <c r="V123" s="29">
        <f t="shared" si="7"/>
        <v>16.95</v>
      </c>
      <c r="W123" s="29">
        <f t="shared" si="8"/>
        <v>3.0509999999999997</v>
      </c>
      <c r="X123" s="29">
        <f t="shared" si="5"/>
        <v>20.000999999999998</v>
      </c>
      <c r="Y123" s="24"/>
    </row>
    <row r="124" spans="1:25" ht="46.8">
      <c r="A124" s="22">
        <v>44588</v>
      </c>
      <c r="B124" s="23" t="s">
        <v>329</v>
      </c>
      <c r="C124" s="23" t="s">
        <v>21</v>
      </c>
      <c r="D124" s="23" t="s">
        <v>22</v>
      </c>
      <c r="E124" s="23">
        <v>1</v>
      </c>
      <c r="F124" s="23" t="s">
        <v>24</v>
      </c>
      <c r="G124" s="23">
        <v>1</v>
      </c>
      <c r="H124" s="23" t="s">
        <v>28</v>
      </c>
      <c r="I124" s="56" t="s">
        <v>42</v>
      </c>
      <c r="J124" s="61"/>
      <c r="K124" s="49"/>
      <c r="L124" s="22">
        <v>44588</v>
      </c>
      <c r="M124" s="57"/>
      <c r="N124" s="58" t="s">
        <v>116</v>
      </c>
      <c r="O124" s="57">
        <v>1</v>
      </c>
      <c r="P124" s="25"/>
      <c r="Q124" s="54" t="s">
        <v>27</v>
      </c>
      <c r="R124" s="27"/>
      <c r="S124" s="28"/>
      <c r="T124" s="29">
        <v>12.71</v>
      </c>
      <c r="U124" s="29">
        <f t="shared" si="6"/>
        <v>12.71</v>
      </c>
      <c r="V124" s="29">
        <f t="shared" si="7"/>
        <v>12.71</v>
      </c>
      <c r="W124" s="29">
        <f t="shared" si="8"/>
        <v>2.2878000000000003</v>
      </c>
      <c r="X124" s="29">
        <f t="shared" si="5"/>
        <v>14.997800000000002</v>
      </c>
      <c r="Y124" s="24"/>
    </row>
    <row r="125" spans="1:25" ht="31.2">
      <c r="A125" s="22">
        <v>44588</v>
      </c>
      <c r="B125" s="23" t="s">
        <v>330</v>
      </c>
      <c r="C125" s="23" t="s">
        <v>21</v>
      </c>
      <c r="D125" s="23" t="s">
        <v>22</v>
      </c>
      <c r="E125" s="23">
        <v>1</v>
      </c>
      <c r="F125" s="23" t="s">
        <v>24</v>
      </c>
      <c r="G125" s="23">
        <v>1</v>
      </c>
      <c r="H125" s="23" t="s">
        <v>28</v>
      </c>
      <c r="I125" s="56" t="s">
        <v>117</v>
      </c>
      <c r="J125" s="61"/>
      <c r="K125" s="49"/>
      <c r="L125" s="22">
        <v>44588</v>
      </c>
      <c r="M125" s="57"/>
      <c r="N125" s="58" t="s">
        <v>118</v>
      </c>
      <c r="O125" s="57">
        <v>1</v>
      </c>
      <c r="P125" s="25"/>
      <c r="Q125" s="54" t="s">
        <v>27</v>
      </c>
      <c r="R125" s="27"/>
      <c r="S125" s="28"/>
      <c r="T125" s="29">
        <v>10.17</v>
      </c>
      <c r="U125" s="29">
        <f t="shared" si="6"/>
        <v>10.17</v>
      </c>
      <c r="V125" s="29">
        <f t="shared" si="7"/>
        <v>10.17</v>
      </c>
      <c r="W125" s="29">
        <f t="shared" si="8"/>
        <v>1.8306</v>
      </c>
      <c r="X125" s="29">
        <f t="shared" si="5"/>
        <v>12.0006</v>
      </c>
      <c r="Y125" s="24"/>
    </row>
    <row r="126" spans="1:25" ht="31.2">
      <c r="A126" s="22">
        <v>44588</v>
      </c>
      <c r="B126" s="23" t="s">
        <v>330</v>
      </c>
      <c r="C126" s="23" t="s">
        <v>21</v>
      </c>
      <c r="D126" s="23" t="s">
        <v>22</v>
      </c>
      <c r="E126" s="23">
        <v>1</v>
      </c>
      <c r="F126" s="23" t="s">
        <v>24</v>
      </c>
      <c r="G126" s="23">
        <v>1</v>
      </c>
      <c r="H126" s="23" t="s">
        <v>28</v>
      </c>
      <c r="I126" s="19" t="s">
        <v>31</v>
      </c>
      <c r="J126" s="61"/>
      <c r="K126" s="49"/>
      <c r="L126" s="22">
        <v>44588</v>
      </c>
      <c r="M126" s="57"/>
      <c r="N126" s="58" t="s">
        <v>118</v>
      </c>
      <c r="O126" s="57">
        <v>1</v>
      </c>
      <c r="P126" s="25"/>
      <c r="Q126" s="54" t="s">
        <v>27</v>
      </c>
      <c r="R126" s="27"/>
      <c r="S126" s="28"/>
      <c r="T126" s="29">
        <v>8.0500000000000007</v>
      </c>
      <c r="U126" s="29">
        <f t="shared" si="6"/>
        <v>8.0500000000000007</v>
      </c>
      <c r="V126" s="29">
        <f t="shared" si="7"/>
        <v>8.0500000000000007</v>
      </c>
      <c r="W126" s="29">
        <f t="shared" si="8"/>
        <v>1.4490000000000001</v>
      </c>
      <c r="X126" s="29">
        <f t="shared" si="5"/>
        <v>9.4990000000000006</v>
      </c>
      <c r="Y126" s="24"/>
    </row>
    <row r="127" spans="1:25" ht="31.2">
      <c r="A127" s="22">
        <v>44588</v>
      </c>
      <c r="B127" s="23" t="s">
        <v>331</v>
      </c>
      <c r="C127" s="23" t="s">
        <v>21</v>
      </c>
      <c r="D127" s="23" t="s">
        <v>22</v>
      </c>
      <c r="E127" s="23">
        <v>1</v>
      </c>
      <c r="F127" s="23" t="s">
        <v>24</v>
      </c>
      <c r="G127" s="23">
        <v>4</v>
      </c>
      <c r="H127" s="23" t="s">
        <v>28</v>
      </c>
      <c r="I127" s="56" t="s">
        <v>98</v>
      </c>
      <c r="J127" s="61"/>
      <c r="K127" s="49"/>
      <c r="L127" s="22">
        <v>44588</v>
      </c>
      <c r="M127" s="57"/>
      <c r="N127" s="58" t="s">
        <v>119</v>
      </c>
      <c r="O127" s="57">
        <v>1</v>
      </c>
      <c r="P127" s="25"/>
      <c r="Q127" s="54" t="s">
        <v>27</v>
      </c>
      <c r="R127" s="27"/>
      <c r="S127" s="28"/>
      <c r="T127" s="29">
        <v>16.53</v>
      </c>
      <c r="U127" s="29">
        <f t="shared" si="6"/>
        <v>16.53</v>
      </c>
      <c r="V127" s="29">
        <f t="shared" si="7"/>
        <v>16.53</v>
      </c>
      <c r="W127" s="29">
        <f t="shared" si="8"/>
        <v>2.9754</v>
      </c>
      <c r="X127" s="29">
        <f t="shared" si="5"/>
        <v>19.505400000000002</v>
      </c>
      <c r="Y127" s="24"/>
    </row>
    <row r="128" spans="1:25" ht="31.2">
      <c r="A128" s="22">
        <v>44588</v>
      </c>
      <c r="B128" s="23" t="s">
        <v>332</v>
      </c>
      <c r="C128" s="23" t="s">
        <v>21</v>
      </c>
      <c r="D128" s="23" t="s">
        <v>22</v>
      </c>
      <c r="E128" s="23">
        <v>1</v>
      </c>
      <c r="F128" s="23" t="s">
        <v>24</v>
      </c>
      <c r="G128" s="23">
        <v>1</v>
      </c>
      <c r="H128" s="23" t="s">
        <v>28</v>
      </c>
      <c r="I128" s="56" t="s">
        <v>49</v>
      </c>
      <c r="J128" s="61"/>
      <c r="K128" s="49"/>
      <c r="L128" s="22">
        <v>44588</v>
      </c>
      <c r="M128" s="57"/>
      <c r="N128" s="58" t="s">
        <v>120</v>
      </c>
      <c r="O128" s="57">
        <v>1</v>
      </c>
      <c r="P128" s="25"/>
      <c r="Q128" s="54" t="s">
        <v>27</v>
      </c>
      <c r="R128" s="27"/>
      <c r="S128" s="28"/>
      <c r="T128" s="29">
        <v>21.19</v>
      </c>
      <c r="U128" s="29">
        <f t="shared" si="6"/>
        <v>21.19</v>
      </c>
      <c r="V128" s="29">
        <f t="shared" si="7"/>
        <v>21.19</v>
      </c>
      <c r="W128" s="29">
        <f t="shared" si="8"/>
        <v>3.8142</v>
      </c>
      <c r="X128" s="29">
        <f t="shared" si="5"/>
        <v>25.004200000000001</v>
      </c>
      <c r="Y128" s="24"/>
    </row>
    <row r="129" spans="1:25" ht="31.2">
      <c r="A129" s="22">
        <v>44588</v>
      </c>
      <c r="B129" s="23" t="s">
        <v>333</v>
      </c>
      <c r="C129" s="23" t="s">
        <v>21</v>
      </c>
      <c r="D129" s="23" t="s">
        <v>22</v>
      </c>
      <c r="E129" s="23">
        <v>1</v>
      </c>
      <c r="F129" s="23" t="s">
        <v>24</v>
      </c>
      <c r="G129" s="23">
        <v>1</v>
      </c>
      <c r="H129" s="23" t="s">
        <v>28</v>
      </c>
      <c r="I129" s="56" t="s">
        <v>48</v>
      </c>
      <c r="J129" s="61"/>
      <c r="K129" s="49"/>
      <c r="L129" s="22">
        <v>44588</v>
      </c>
      <c r="M129" s="57"/>
      <c r="N129" s="58" t="s">
        <v>121</v>
      </c>
      <c r="O129" s="57">
        <v>1</v>
      </c>
      <c r="P129" s="25"/>
      <c r="Q129" s="54" t="s">
        <v>27</v>
      </c>
      <c r="R129" s="27"/>
      <c r="S129" s="28"/>
      <c r="T129" s="29">
        <v>21.19</v>
      </c>
      <c r="U129" s="29">
        <f t="shared" si="6"/>
        <v>21.19</v>
      </c>
      <c r="V129" s="29">
        <f t="shared" si="7"/>
        <v>21.19</v>
      </c>
      <c r="W129" s="29">
        <f t="shared" si="8"/>
        <v>3.8142</v>
      </c>
      <c r="X129" s="29">
        <f t="shared" si="5"/>
        <v>25.004200000000001</v>
      </c>
      <c r="Y129" s="24"/>
    </row>
    <row r="130" spans="1:25" ht="31.2">
      <c r="A130" s="22">
        <v>44589</v>
      </c>
      <c r="B130" s="23" t="s">
        <v>334</v>
      </c>
      <c r="C130" s="23" t="s">
        <v>21</v>
      </c>
      <c r="D130" s="23" t="s">
        <v>22</v>
      </c>
      <c r="E130" s="23">
        <v>1</v>
      </c>
      <c r="F130" s="23" t="s">
        <v>24</v>
      </c>
      <c r="G130" s="23">
        <v>1</v>
      </c>
      <c r="H130" s="23" t="s">
        <v>28</v>
      </c>
      <c r="I130" s="56" t="s">
        <v>92</v>
      </c>
      <c r="J130" s="61"/>
      <c r="K130" s="49"/>
      <c r="L130" s="22">
        <v>44589</v>
      </c>
      <c r="M130" s="57"/>
      <c r="N130" s="58" t="s">
        <v>122</v>
      </c>
      <c r="O130" s="57">
        <v>1</v>
      </c>
      <c r="P130" s="25"/>
      <c r="Q130" s="54" t="s">
        <v>27</v>
      </c>
      <c r="R130" s="27"/>
      <c r="S130" s="28"/>
      <c r="T130" s="29">
        <v>9.32</v>
      </c>
      <c r="U130" s="29">
        <f t="shared" si="6"/>
        <v>9.32</v>
      </c>
      <c r="V130" s="29">
        <f t="shared" si="7"/>
        <v>9.32</v>
      </c>
      <c r="W130" s="29">
        <f t="shared" si="8"/>
        <v>1.6776</v>
      </c>
      <c r="X130" s="29">
        <f t="shared" si="5"/>
        <v>10.9976</v>
      </c>
      <c r="Y130" s="24"/>
    </row>
    <row r="131" spans="1:25" ht="15.6">
      <c r="A131" s="22">
        <v>44589</v>
      </c>
      <c r="B131" s="23" t="s">
        <v>334</v>
      </c>
      <c r="C131" s="23" t="s">
        <v>21</v>
      </c>
      <c r="D131" s="23" t="s">
        <v>22</v>
      </c>
      <c r="E131" s="23">
        <v>1</v>
      </c>
      <c r="F131" s="23" t="s">
        <v>24</v>
      </c>
      <c r="G131" s="23">
        <v>1</v>
      </c>
      <c r="H131" s="23" t="s">
        <v>28</v>
      </c>
      <c r="I131" s="56" t="s">
        <v>35</v>
      </c>
      <c r="J131" s="61"/>
      <c r="K131" s="49"/>
      <c r="L131" s="22">
        <v>44589</v>
      </c>
      <c r="M131" s="57"/>
      <c r="N131" s="58" t="s">
        <v>122</v>
      </c>
      <c r="O131" s="57">
        <v>1</v>
      </c>
      <c r="P131" s="25"/>
      <c r="Q131" s="54" t="s">
        <v>27</v>
      </c>
      <c r="R131" s="27"/>
      <c r="S131" s="28"/>
      <c r="T131" s="29">
        <v>8.0500000000000007</v>
      </c>
      <c r="U131" s="29">
        <f t="shared" si="6"/>
        <v>8.0500000000000007</v>
      </c>
      <c r="V131" s="29">
        <f t="shared" si="7"/>
        <v>8.0500000000000007</v>
      </c>
      <c r="W131" s="29">
        <f t="shared" si="8"/>
        <v>1.4490000000000001</v>
      </c>
      <c r="X131" s="29">
        <f t="shared" ref="X131:X197" si="9">+W131+V131</f>
        <v>9.4990000000000006</v>
      </c>
      <c r="Y131" s="24"/>
    </row>
    <row r="132" spans="1:25" ht="31.2">
      <c r="A132" s="22">
        <v>44590</v>
      </c>
      <c r="B132" s="23" t="s">
        <v>335</v>
      </c>
      <c r="C132" s="23" t="s">
        <v>21</v>
      </c>
      <c r="D132" s="23" t="s">
        <v>22</v>
      </c>
      <c r="E132" s="23">
        <v>1</v>
      </c>
      <c r="F132" s="23" t="s">
        <v>24</v>
      </c>
      <c r="G132" s="23">
        <v>1</v>
      </c>
      <c r="H132" s="23" t="s">
        <v>28</v>
      </c>
      <c r="I132" s="56" t="s">
        <v>49</v>
      </c>
      <c r="J132" s="61"/>
      <c r="K132" s="49"/>
      <c r="L132" s="22">
        <v>44590</v>
      </c>
      <c r="M132" s="57"/>
      <c r="N132" s="58" t="s">
        <v>123</v>
      </c>
      <c r="O132" s="57">
        <v>1</v>
      </c>
      <c r="P132" s="25"/>
      <c r="Q132" s="54" t="s">
        <v>27</v>
      </c>
      <c r="R132" s="27"/>
      <c r="S132" s="28"/>
      <c r="T132" s="29">
        <v>21.19</v>
      </c>
      <c r="U132" s="29">
        <f t="shared" si="6"/>
        <v>21.19</v>
      </c>
      <c r="V132" s="29">
        <f t="shared" si="7"/>
        <v>21.19</v>
      </c>
      <c r="W132" s="29">
        <f t="shared" si="8"/>
        <v>3.8142</v>
      </c>
      <c r="X132" s="29">
        <f t="shared" si="9"/>
        <v>25.004200000000001</v>
      </c>
      <c r="Y132" s="24"/>
    </row>
    <row r="133" spans="1:25" ht="62.4">
      <c r="A133" s="22">
        <v>44590</v>
      </c>
      <c r="B133" s="23" t="s">
        <v>336</v>
      </c>
      <c r="C133" s="23" t="s">
        <v>21</v>
      </c>
      <c r="D133" s="23" t="s">
        <v>22</v>
      </c>
      <c r="E133" s="23">
        <v>1</v>
      </c>
      <c r="F133" s="23" t="s">
        <v>24</v>
      </c>
      <c r="G133" s="23">
        <v>1</v>
      </c>
      <c r="H133" s="23" t="s">
        <v>32</v>
      </c>
      <c r="I133" s="56" t="s">
        <v>124</v>
      </c>
      <c r="J133" s="61"/>
      <c r="K133" s="49"/>
      <c r="L133" s="22">
        <v>44590</v>
      </c>
      <c r="M133" s="57"/>
      <c r="N133" s="58" t="s">
        <v>125</v>
      </c>
      <c r="O133" s="57">
        <v>1</v>
      </c>
      <c r="P133" s="25"/>
      <c r="Q133" s="54" t="s">
        <v>27</v>
      </c>
      <c r="R133" s="27"/>
      <c r="S133" s="62"/>
      <c r="T133" s="29">
        <v>14.83</v>
      </c>
      <c r="U133" s="29">
        <f t="shared" si="6"/>
        <v>14.83</v>
      </c>
      <c r="V133" s="29">
        <f t="shared" si="7"/>
        <v>14.83</v>
      </c>
      <c r="W133" s="29">
        <f t="shared" si="8"/>
        <v>2.6694</v>
      </c>
      <c r="X133" s="29">
        <f t="shared" si="9"/>
        <v>17.499400000000001</v>
      </c>
      <c r="Y133" s="24"/>
    </row>
    <row r="134" spans="1:25" ht="31.2">
      <c r="A134" s="22">
        <v>44590</v>
      </c>
      <c r="B134" s="23" t="s">
        <v>336</v>
      </c>
      <c r="C134" s="23" t="s">
        <v>21</v>
      </c>
      <c r="D134" s="23" t="s">
        <v>22</v>
      </c>
      <c r="E134" s="23">
        <v>1</v>
      </c>
      <c r="F134" s="23" t="s">
        <v>24</v>
      </c>
      <c r="G134" s="23">
        <v>1</v>
      </c>
      <c r="H134" s="23" t="s">
        <v>28</v>
      </c>
      <c r="I134" s="56" t="s">
        <v>49</v>
      </c>
      <c r="J134" s="61"/>
      <c r="K134" s="49"/>
      <c r="L134" s="22">
        <v>44590</v>
      </c>
      <c r="M134" s="57"/>
      <c r="N134" s="58" t="s">
        <v>125</v>
      </c>
      <c r="O134" s="57">
        <v>1</v>
      </c>
      <c r="P134" s="25"/>
      <c r="Q134" s="54" t="s">
        <v>27</v>
      </c>
      <c r="R134" s="27"/>
      <c r="S134" s="28"/>
      <c r="T134" s="29">
        <v>21.19</v>
      </c>
      <c r="U134" s="29">
        <f t="shared" si="6"/>
        <v>21.19</v>
      </c>
      <c r="V134" s="29">
        <f t="shared" si="7"/>
        <v>21.19</v>
      </c>
      <c r="W134" s="29">
        <f t="shared" si="8"/>
        <v>3.8142</v>
      </c>
      <c r="X134" s="29">
        <f t="shared" si="9"/>
        <v>25.004200000000001</v>
      </c>
      <c r="Y134" s="24"/>
    </row>
    <row r="135" spans="1:25" ht="31.2">
      <c r="A135" s="22">
        <v>44590</v>
      </c>
      <c r="B135" s="23" t="s">
        <v>336</v>
      </c>
      <c r="C135" s="23" t="s">
        <v>21</v>
      </c>
      <c r="D135" s="23" t="s">
        <v>22</v>
      </c>
      <c r="E135" s="23">
        <v>1</v>
      </c>
      <c r="F135" s="23" t="s">
        <v>24</v>
      </c>
      <c r="G135" s="23">
        <v>1</v>
      </c>
      <c r="H135" s="23" t="s">
        <v>28</v>
      </c>
      <c r="I135" s="56" t="s">
        <v>48</v>
      </c>
      <c r="J135" s="61"/>
      <c r="K135" s="49"/>
      <c r="L135" s="22">
        <v>44590</v>
      </c>
      <c r="M135" s="57"/>
      <c r="N135" s="58" t="s">
        <v>125</v>
      </c>
      <c r="O135" s="57">
        <v>1</v>
      </c>
      <c r="P135" s="25"/>
      <c r="Q135" s="54" t="s">
        <v>27</v>
      </c>
      <c r="R135" s="27"/>
      <c r="S135" s="28"/>
      <c r="T135" s="29">
        <v>21.19</v>
      </c>
      <c r="U135" s="29">
        <f t="shared" ref="U135:U186" si="10">(T135*E135)-R135</f>
        <v>21.19</v>
      </c>
      <c r="V135" s="29">
        <f t="shared" si="7"/>
        <v>21.19</v>
      </c>
      <c r="W135" s="29">
        <f t="shared" si="8"/>
        <v>3.8142</v>
      </c>
      <c r="X135" s="29">
        <f t="shared" si="9"/>
        <v>25.004200000000001</v>
      </c>
      <c r="Y135" s="24"/>
    </row>
    <row r="136" spans="1:25" ht="46.8">
      <c r="A136" s="22">
        <v>44590</v>
      </c>
      <c r="B136" s="23" t="s">
        <v>336</v>
      </c>
      <c r="C136" s="23" t="s">
        <v>21</v>
      </c>
      <c r="D136" s="23" t="s">
        <v>22</v>
      </c>
      <c r="E136" s="23">
        <v>1</v>
      </c>
      <c r="F136" s="23" t="s">
        <v>24</v>
      </c>
      <c r="G136" s="23">
        <v>4</v>
      </c>
      <c r="H136" s="23" t="s">
        <v>28</v>
      </c>
      <c r="I136" s="45" t="s">
        <v>80</v>
      </c>
      <c r="J136" s="61"/>
      <c r="K136" s="49"/>
      <c r="L136" s="22">
        <v>44590</v>
      </c>
      <c r="M136" s="57"/>
      <c r="N136" s="58" t="s">
        <v>125</v>
      </c>
      <c r="O136" s="57">
        <v>1</v>
      </c>
      <c r="P136" s="25"/>
      <c r="Q136" s="54" t="s">
        <v>27</v>
      </c>
      <c r="R136" s="27"/>
      <c r="S136" s="28"/>
      <c r="T136" s="29">
        <v>39.83</v>
      </c>
      <c r="U136" s="29">
        <f t="shared" si="10"/>
        <v>39.83</v>
      </c>
      <c r="V136" s="29">
        <f t="shared" ref="V136:V202" si="11">+U136</f>
        <v>39.83</v>
      </c>
      <c r="W136" s="29">
        <f t="shared" ref="W136:W202" si="12">+V136*0.18</f>
        <v>7.1693999999999996</v>
      </c>
      <c r="X136" s="29">
        <f t="shared" si="9"/>
        <v>46.999399999999994</v>
      </c>
      <c r="Y136" s="24"/>
    </row>
    <row r="137" spans="1:25" ht="31.2">
      <c r="A137" s="22">
        <v>44590</v>
      </c>
      <c r="B137" s="23" t="s">
        <v>337</v>
      </c>
      <c r="C137" s="23" t="s">
        <v>21</v>
      </c>
      <c r="D137" s="23" t="s">
        <v>22</v>
      </c>
      <c r="E137" s="23">
        <v>1</v>
      </c>
      <c r="F137" s="23" t="s">
        <v>24</v>
      </c>
      <c r="G137" s="23">
        <v>0.5</v>
      </c>
      <c r="H137" s="23" t="s">
        <v>28</v>
      </c>
      <c r="I137" s="56" t="s">
        <v>82</v>
      </c>
      <c r="J137" s="61"/>
      <c r="K137" s="49"/>
      <c r="L137" s="22">
        <v>44590</v>
      </c>
      <c r="M137" s="57"/>
      <c r="N137" s="58" t="s">
        <v>126</v>
      </c>
      <c r="O137" s="57">
        <v>1</v>
      </c>
      <c r="P137" s="25"/>
      <c r="Q137" s="54" t="s">
        <v>27</v>
      </c>
      <c r="R137" s="27"/>
      <c r="S137" s="28"/>
      <c r="T137" s="29">
        <v>6.76</v>
      </c>
      <c r="U137" s="29">
        <f t="shared" si="10"/>
        <v>6.76</v>
      </c>
      <c r="V137" s="29">
        <f t="shared" si="11"/>
        <v>6.76</v>
      </c>
      <c r="W137" s="29">
        <f t="shared" si="12"/>
        <v>1.2167999999999999</v>
      </c>
      <c r="X137" s="29">
        <f t="shared" si="9"/>
        <v>7.9767999999999999</v>
      </c>
      <c r="Y137" s="24"/>
    </row>
    <row r="138" spans="1:25" ht="31.2">
      <c r="A138" s="22">
        <v>44590</v>
      </c>
      <c r="B138" s="23" t="s">
        <v>337</v>
      </c>
      <c r="C138" s="23" t="s">
        <v>21</v>
      </c>
      <c r="D138" s="23" t="s">
        <v>22</v>
      </c>
      <c r="E138" s="23">
        <v>1</v>
      </c>
      <c r="F138" s="23" t="s">
        <v>24</v>
      </c>
      <c r="G138" s="23">
        <v>0.5</v>
      </c>
      <c r="H138" s="23" t="s">
        <v>28</v>
      </c>
      <c r="I138" s="56" t="s">
        <v>127</v>
      </c>
      <c r="J138" s="61"/>
      <c r="K138" s="49"/>
      <c r="L138" s="22">
        <v>44590</v>
      </c>
      <c r="M138" s="57"/>
      <c r="N138" s="58" t="s">
        <v>126</v>
      </c>
      <c r="O138" s="57">
        <v>1</v>
      </c>
      <c r="P138" s="25"/>
      <c r="Q138" s="54" t="s">
        <v>27</v>
      </c>
      <c r="R138" s="27"/>
      <c r="S138" s="28"/>
      <c r="T138" s="29">
        <v>6.78</v>
      </c>
      <c r="U138" s="29">
        <f t="shared" si="10"/>
        <v>6.78</v>
      </c>
      <c r="V138" s="29">
        <f t="shared" si="11"/>
        <v>6.78</v>
      </c>
      <c r="W138" s="29">
        <f t="shared" si="12"/>
        <v>1.2203999999999999</v>
      </c>
      <c r="X138" s="29">
        <f t="shared" si="9"/>
        <v>8.0004000000000008</v>
      </c>
      <c r="Y138" s="24"/>
    </row>
    <row r="139" spans="1:25" ht="31.2">
      <c r="A139" s="22">
        <v>44590</v>
      </c>
      <c r="B139" s="23" t="s">
        <v>337</v>
      </c>
      <c r="C139" s="23" t="s">
        <v>21</v>
      </c>
      <c r="D139" s="23" t="s">
        <v>22</v>
      </c>
      <c r="E139" s="23">
        <v>1</v>
      </c>
      <c r="F139" s="23" t="s">
        <v>24</v>
      </c>
      <c r="G139" s="23">
        <v>1</v>
      </c>
      <c r="H139" s="23" t="s">
        <v>28</v>
      </c>
      <c r="I139" s="56" t="s">
        <v>49</v>
      </c>
      <c r="J139" s="61"/>
      <c r="K139" s="49"/>
      <c r="L139" s="22">
        <v>44590</v>
      </c>
      <c r="M139" s="57"/>
      <c r="N139" s="58" t="s">
        <v>126</v>
      </c>
      <c r="O139" s="57">
        <v>1</v>
      </c>
      <c r="P139" s="25"/>
      <c r="Q139" s="54" t="s">
        <v>27</v>
      </c>
      <c r="R139" s="27"/>
      <c r="S139" s="28"/>
      <c r="T139" s="29">
        <v>21.19</v>
      </c>
      <c r="U139" s="29">
        <f t="shared" si="10"/>
        <v>21.19</v>
      </c>
      <c r="V139" s="29">
        <f t="shared" si="11"/>
        <v>21.19</v>
      </c>
      <c r="W139" s="29">
        <f t="shared" si="12"/>
        <v>3.8142</v>
      </c>
      <c r="X139" s="29">
        <f t="shared" si="9"/>
        <v>25.004200000000001</v>
      </c>
      <c r="Y139" s="24"/>
    </row>
    <row r="140" spans="1:25" ht="15.6">
      <c r="A140" s="22">
        <v>44590</v>
      </c>
      <c r="B140" s="23" t="s">
        <v>338</v>
      </c>
      <c r="C140" s="23" t="s">
        <v>21</v>
      </c>
      <c r="D140" s="23" t="s">
        <v>22</v>
      </c>
      <c r="E140" s="23">
        <v>1</v>
      </c>
      <c r="F140" s="23" t="s">
        <v>24</v>
      </c>
      <c r="G140" s="23">
        <v>1</v>
      </c>
      <c r="H140" s="23" t="s">
        <v>28</v>
      </c>
      <c r="I140" s="56" t="s">
        <v>114</v>
      </c>
      <c r="J140" s="61"/>
      <c r="K140" s="49"/>
      <c r="L140" s="22">
        <v>44590</v>
      </c>
      <c r="M140" s="57"/>
      <c r="N140" s="58">
        <v>65</v>
      </c>
      <c r="O140" s="57">
        <v>1</v>
      </c>
      <c r="P140" s="25"/>
      <c r="Q140" s="54" t="s">
        <v>27</v>
      </c>
      <c r="R140" s="27"/>
      <c r="S140" s="28"/>
      <c r="T140" s="29">
        <v>9.32</v>
      </c>
      <c r="U140" s="29">
        <f t="shared" si="10"/>
        <v>9.32</v>
      </c>
      <c r="V140" s="29">
        <f t="shared" si="11"/>
        <v>9.32</v>
      </c>
      <c r="W140" s="29">
        <f t="shared" si="12"/>
        <v>1.6776</v>
      </c>
      <c r="X140" s="29">
        <f t="shared" si="9"/>
        <v>10.9976</v>
      </c>
      <c r="Y140" s="24"/>
    </row>
    <row r="141" spans="1:25" ht="46.8">
      <c r="A141" s="22">
        <v>44590</v>
      </c>
      <c r="B141" s="23" t="s">
        <v>338</v>
      </c>
      <c r="C141" s="23" t="s">
        <v>21</v>
      </c>
      <c r="D141" s="23" t="s">
        <v>22</v>
      </c>
      <c r="E141" s="23">
        <v>1</v>
      </c>
      <c r="F141" s="23" t="s">
        <v>24</v>
      </c>
      <c r="G141" s="23">
        <v>1</v>
      </c>
      <c r="H141" s="23" t="s">
        <v>28</v>
      </c>
      <c r="I141" s="45" t="s">
        <v>80</v>
      </c>
      <c r="J141" s="61"/>
      <c r="K141" s="49"/>
      <c r="L141" s="22">
        <v>44590</v>
      </c>
      <c r="M141" s="57"/>
      <c r="N141" s="58">
        <v>65</v>
      </c>
      <c r="O141" s="57">
        <v>1</v>
      </c>
      <c r="P141" s="25"/>
      <c r="Q141" s="54" t="s">
        <v>27</v>
      </c>
      <c r="R141" s="27"/>
      <c r="S141" s="28"/>
      <c r="T141" s="29">
        <v>12.71</v>
      </c>
      <c r="U141" s="29">
        <f t="shared" si="10"/>
        <v>12.71</v>
      </c>
      <c r="V141" s="29">
        <f t="shared" si="11"/>
        <v>12.71</v>
      </c>
      <c r="W141" s="29">
        <f t="shared" si="12"/>
        <v>2.2878000000000003</v>
      </c>
      <c r="X141" s="29">
        <f t="shared" si="9"/>
        <v>14.997800000000002</v>
      </c>
      <c r="Y141" s="24"/>
    </row>
    <row r="142" spans="1:25" ht="46.8">
      <c r="A142" s="22">
        <v>44592</v>
      </c>
      <c r="B142" s="16" t="s">
        <v>339</v>
      </c>
      <c r="C142" s="23" t="s">
        <v>21</v>
      </c>
      <c r="D142" s="23" t="s">
        <v>22</v>
      </c>
      <c r="E142" s="23">
        <v>1</v>
      </c>
      <c r="F142" s="23" t="s">
        <v>24</v>
      </c>
      <c r="G142" s="23">
        <v>4</v>
      </c>
      <c r="H142" s="23" t="s">
        <v>28</v>
      </c>
      <c r="I142" s="45" t="s">
        <v>80</v>
      </c>
      <c r="J142" s="61"/>
      <c r="K142" s="49"/>
      <c r="L142" s="63">
        <v>44592</v>
      </c>
      <c r="M142" s="50"/>
      <c r="N142" s="64">
        <v>66</v>
      </c>
      <c r="O142" s="50">
        <v>1</v>
      </c>
      <c r="P142" s="25"/>
      <c r="Q142" s="54" t="s">
        <v>27</v>
      </c>
      <c r="R142" s="27"/>
      <c r="S142" s="28"/>
      <c r="T142" s="29">
        <v>39.83</v>
      </c>
      <c r="U142" s="29">
        <f t="shared" si="10"/>
        <v>39.83</v>
      </c>
      <c r="V142" s="29">
        <f t="shared" si="11"/>
        <v>39.83</v>
      </c>
      <c r="W142" s="29">
        <f t="shared" si="12"/>
        <v>7.1693999999999996</v>
      </c>
      <c r="X142" s="29">
        <f t="shared" si="9"/>
        <v>46.999399999999994</v>
      </c>
      <c r="Y142" s="24"/>
    </row>
    <row r="143" spans="1:25" ht="46.8">
      <c r="A143" s="22">
        <v>44592</v>
      </c>
      <c r="B143" s="16" t="s">
        <v>339</v>
      </c>
      <c r="C143" s="23" t="s">
        <v>21</v>
      </c>
      <c r="D143" s="23" t="s">
        <v>22</v>
      </c>
      <c r="E143" s="23">
        <v>1</v>
      </c>
      <c r="F143" s="23" t="s">
        <v>24</v>
      </c>
      <c r="G143" s="23">
        <v>20</v>
      </c>
      <c r="H143" s="23" t="s">
        <v>28</v>
      </c>
      <c r="I143" s="45" t="s">
        <v>80</v>
      </c>
      <c r="J143" s="61"/>
      <c r="K143" s="49"/>
      <c r="L143" s="63">
        <v>44592</v>
      </c>
      <c r="M143" s="50"/>
      <c r="N143" s="64">
        <v>66</v>
      </c>
      <c r="O143" s="50">
        <v>1</v>
      </c>
      <c r="P143" s="25"/>
      <c r="Q143" s="54" t="s">
        <v>27</v>
      </c>
      <c r="R143" s="27"/>
      <c r="S143" s="28"/>
      <c r="T143" s="29">
        <v>177.97</v>
      </c>
      <c r="U143" s="29">
        <f t="shared" si="10"/>
        <v>177.97</v>
      </c>
      <c r="V143" s="29">
        <f t="shared" si="11"/>
        <v>177.97</v>
      </c>
      <c r="W143" s="29">
        <f t="shared" si="12"/>
        <v>32.034599999999998</v>
      </c>
      <c r="X143" s="29">
        <f t="shared" si="9"/>
        <v>210.00459999999998</v>
      </c>
      <c r="Y143" s="24"/>
    </row>
    <row r="144" spans="1:25" ht="46.8">
      <c r="A144" s="22">
        <v>44592</v>
      </c>
      <c r="B144" s="16" t="s">
        <v>339</v>
      </c>
      <c r="C144" s="23" t="s">
        <v>21</v>
      </c>
      <c r="D144" s="23" t="s">
        <v>22</v>
      </c>
      <c r="E144" s="31">
        <v>1</v>
      </c>
      <c r="F144" s="31" t="s">
        <v>24</v>
      </c>
      <c r="G144" s="65">
        <v>1</v>
      </c>
      <c r="H144" s="65" t="s">
        <v>28</v>
      </c>
      <c r="I144" s="45" t="s">
        <v>73</v>
      </c>
      <c r="J144" s="66"/>
      <c r="K144" s="60"/>
      <c r="L144" s="63">
        <v>44592</v>
      </c>
      <c r="M144" s="50"/>
      <c r="N144" s="64">
        <v>66</v>
      </c>
      <c r="O144" s="50">
        <v>1</v>
      </c>
      <c r="P144" s="25"/>
      <c r="Q144" s="54" t="s">
        <v>27</v>
      </c>
      <c r="R144" s="27"/>
      <c r="S144" s="28"/>
      <c r="T144" s="29">
        <v>10.17</v>
      </c>
      <c r="U144" s="29">
        <f t="shared" si="10"/>
        <v>10.17</v>
      </c>
      <c r="V144" s="29">
        <f t="shared" si="11"/>
        <v>10.17</v>
      </c>
      <c r="W144" s="29">
        <f t="shared" si="12"/>
        <v>1.8306</v>
      </c>
      <c r="X144" s="29">
        <f t="shared" si="9"/>
        <v>12.0006</v>
      </c>
      <c r="Y144" s="67"/>
    </row>
    <row r="145" spans="1:25" ht="46.8">
      <c r="A145" s="22">
        <v>44592</v>
      </c>
      <c r="B145" s="16" t="s">
        <v>339</v>
      </c>
      <c r="C145" s="23" t="s">
        <v>21</v>
      </c>
      <c r="D145" s="23" t="s">
        <v>22</v>
      </c>
      <c r="E145" s="31">
        <v>1</v>
      </c>
      <c r="F145" s="31" t="s">
        <v>24</v>
      </c>
      <c r="G145" s="65">
        <v>4</v>
      </c>
      <c r="H145" s="65" t="s">
        <v>28</v>
      </c>
      <c r="I145" s="56" t="s">
        <v>99</v>
      </c>
      <c r="J145" s="66"/>
      <c r="K145" s="60"/>
      <c r="L145" s="63">
        <v>44592</v>
      </c>
      <c r="M145" s="50"/>
      <c r="N145" s="64">
        <v>66</v>
      </c>
      <c r="O145" s="50">
        <v>1</v>
      </c>
      <c r="P145" s="25"/>
      <c r="Q145" s="54" t="s">
        <v>27</v>
      </c>
      <c r="R145" s="27"/>
      <c r="S145" s="28"/>
      <c r="T145" s="29">
        <v>31.36</v>
      </c>
      <c r="U145" s="29">
        <f t="shared" si="10"/>
        <v>31.36</v>
      </c>
      <c r="V145" s="29">
        <f t="shared" si="11"/>
        <v>31.36</v>
      </c>
      <c r="W145" s="29">
        <f t="shared" si="12"/>
        <v>5.6448</v>
      </c>
      <c r="X145" s="29">
        <f t="shared" si="9"/>
        <v>37.004800000000003</v>
      </c>
      <c r="Y145" s="67"/>
    </row>
    <row r="146" spans="1:25" ht="62.4">
      <c r="A146" s="60">
        <v>44592</v>
      </c>
      <c r="B146" s="31" t="s">
        <v>340</v>
      </c>
      <c r="C146" s="31" t="s">
        <v>21</v>
      </c>
      <c r="D146" s="68" t="s">
        <v>22</v>
      </c>
      <c r="E146" s="31">
        <v>1</v>
      </c>
      <c r="F146" s="31" t="s">
        <v>24</v>
      </c>
      <c r="G146" s="65">
        <v>0.5</v>
      </c>
      <c r="H146" s="65" t="s">
        <v>28</v>
      </c>
      <c r="I146" s="56" t="s">
        <v>82</v>
      </c>
      <c r="J146" s="66"/>
      <c r="K146" s="60"/>
      <c r="L146" s="63">
        <v>44592</v>
      </c>
      <c r="M146" s="50"/>
      <c r="N146" s="64" t="s">
        <v>128</v>
      </c>
      <c r="O146" s="50">
        <v>1</v>
      </c>
      <c r="P146" s="25"/>
      <c r="Q146" s="26" t="s">
        <v>27</v>
      </c>
      <c r="R146" s="27"/>
      <c r="S146" s="28"/>
      <c r="T146" s="29">
        <v>6.78</v>
      </c>
      <c r="U146" s="29">
        <f t="shared" si="10"/>
        <v>6.78</v>
      </c>
      <c r="V146" s="29">
        <f t="shared" si="11"/>
        <v>6.78</v>
      </c>
      <c r="W146" s="29">
        <f t="shared" si="12"/>
        <v>1.2203999999999999</v>
      </c>
      <c r="X146" s="29">
        <f t="shared" si="9"/>
        <v>8.0004000000000008</v>
      </c>
      <c r="Y146" s="67"/>
    </row>
    <row r="147" spans="1:25" ht="78">
      <c r="A147" s="60">
        <v>44592</v>
      </c>
      <c r="B147" s="31" t="s">
        <v>341</v>
      </c>
      <c r="C147" s="31" t="s">
        <v>21</v>
      </c>
      <c r="D147" s="68" t="s">
        <v>22</v>
      </c>
      <c r="E147" s="31">
        <v>1</v>
      </c>
      <c r="F147" s="31" t="s">
        <v>24</v>
      </c>
      <c r="G147" s="65">
        <v>1</v>
      </c>
      <c r="H147" s="65" t="s">
        <v>28</v>
      </c>
      <c r="I147" s="56" t="s">
        <v>49</v>
      </c>
      <c r="J147" s="66"/>
      <c r="K147" s="60"/>
      <c r="L147" s="63">
        <v>44592</v>
      </c>
      <c r="M147" s="50"/>
      <c r="N147" s="64" t="s">
        <v>129</v>
      </c>
      <c r="O147" s="50">
        <v>1</v>
      </c>
      <c r="P147" s="25"/>
      <c r="Q147" s="26" t="s">
        <v>27</v>
      </c>
      <c r="R147" s="27"/>
      <c r="S147" s="28"/>
      <c r="T147" s="29">
        <v>21.19</v>
      </c>
      <c r="U147" s="29">
        <f t="shared" si="10"/>
        <v>21.19</v>
      </c>
      <c r="V147" s="29">
        <f t="shared" si="11"/>
        <v>21.19</v>
      </c>
      <c r="W147" s="29">
        <f t="shared" si="12"/>
        <v>3.8142</v>
      </c>
      <c r="X147" s="29">
        <f t="shared" si="9"/>
        <v>25.004200000000001</v>
      </c>
      <c r="Y147" s="67"/>
    </row>
    <row r="148" spans="1:25" ht="78">
      <c r="A148" s="60">
        <v>44592</v>
      </c>
      <c r="B148" s="31" t="s">
        <v>341</v>
      </c>
      <c r="C148" s="31" t="s">
        <v>21</v>
      </c>
      <c r="D148" s="68" t="s">
        <v>22</v>
      </c>
      <c r="E148" s="31">
        <v>1</v>
      </c>
      <c r="F148" s="31" t="s">
        <v>24</v>
      </c>
      <c r="G148" s="65">
        <v>1</v>
      </c>
      <c r="H148" s="65" t="s">
        <v>24</v>
      </c>
      <c r="I148" s="56" t="s">
        <v>130</v>
      </c>
      <c r="J148" s="66"/>
      <c r="K148" s="60"/>
      <c r="L148" s="63">
        <v>44592</v>
      </c>
      <c r="M148" s="50"/>
      <c r="N148" s="64" t="s">
        <v>129</v>
      </c>
      <c r="O148" s="50">
        <v>1</v>
      </c>
      <c r="P148" s="25"/>
      <c r="Q148" s="26" t="s">
        <v>27</v>
      </c>
      <c r="R148" s="27"/>
      <c r="S148" s="28"/>
      <c r="T148" s="29">
        <v>2.97</v>
      </c>
      <c r="U148" s="29">
        <f t="shared" si="10"/>
        <v>2.97</v>
      </c>
      <c r="V148" s="29">
        <f t="shared" si="11"/>
        <v>2.97</v>
      </c>
      <c r="W148" s="29">
        <f t="shared" si="12"/>
        <v>0.53459999999999996</v>
      </c>
      <c r="X148" s="29">
        <f t="shared" si="9"/>
        <v>3.5045999999999999</v>
      </c>
      <c r="Y148" s="67"/>
    </row>
    <row r="149" spans="1:25" ht="78">
      <c r="A149" s="60">
        <v>44592</v>
      </c>
      <c r="B149" s="31" t="s">
        <v>341</v>
      </c>
      <c r="C149" s="31" t="s">
        <v>21</v>
      </c>
      <c r="D149" s="68" t="s">
        <v>22</v>
      </c>
      <c r="E149" s="31">
        <v>1</v>
      </c>
      <c r="F149" s="31" t="s">
        <v>24</v>
      </c>
      <c r="G149" s="65">
        <v>1</v>
      </c>
      <c r="H149" s="65" t="s">
        <v>23</v>
      </c>
      <c r="I149" s="56" t="s">
        <v>131</v>
      </c>
      <c r="J149" s="66"/>
      <c r="K149" s="60"/>
      <c r="L149" s="63">
        <v>44592</v>
      </c>
      <c r="M149" s="50"/>
      <c r="N149" s="64" t="s">
        <v>129</v>
      </c>
      <c r="O149" s="50">
        <v>1</v>
      </c>
      <c r="P149" s="25"/>
      <c r="Q149" s="26" t="s">
        <v>27</v>
      </c>
      <c r="R149" s="27"/>
      <c r="S149" s="28"/>
      <c r="T149" s="29">
        <v>12.71</v>
      </c>
      <c r="U149" s="29">
        <f t="shared" si="10"/>
        <v>12.71</v>
      </c>
      <c r="V149" s="29">
        <f t="shared" si="11"/>
        <v>12.71</v>
      </c>
      <c r="W149" s="29">
        <f t="shared" si="12"/>
        <v>2.2878000000000003</v>
      </c>
      <c r="X149" s="29">
        <f t="shared" si="9"/>
        <v>14.997800000000002</v>
      </c>
      <c r="Y149" s="67"/>
    </row>
    <row r="150" spans="1:25" ht="46.8">
      <c r="A150" s="60">
        <v>44592</v>
      </c>
      <c r="B150" s="31" t="s">
        <v>342</v>
      </c>
      <c r="C150" s="31" t="s">
        <v>21</v>
      </c>
      <c r="D150" s="68" t="s">
        <v>22</v>
      </c>
      <c r="E150" s="31">
        <v>1</v>
      </c>
      <c r="F150" s="31" t="s">
        <v>24</v>
      </c>
      <c r="G150" s="31">
        <v>20</v>
      </c>
      <c r="H150" s="65" t="s">
        <v>28</v>
      </c>
      <c r="I150" s="56" t="s">
        <v>52</v>
      </c>
      <c r="J150" s="66"/>
      <c r="K150" s="60"/>
      <c r="L150" s="63">
        <v>44592</v>
      </c>
      <c r="M150" s="50"/>
      <c r="N150" s="64" t="s">
        <v>132</v>
      </c>
      <c r="O150" s="50">
        <v>1</v>
      </c>
      <c r="P150" s="25"/>
      <c r="Q150" s="26" t="s">
        <v>27</v>
      </c>
      <c r="R150" s="27"/>
      <c r="S150" s="28"/>
      <c r="T150" s="29">
        <v>76.27</v>
      </c>
      <c r="U150" s="29">
        <f t="shared" si="10"/>
        <v>76.27</v>
      </c>
      <c r="V150" s="29">
        <f t="shared" si="11"/>
        <v>76.27</v>
      </c>
      <c r="W150" s="29">
        <f t="shared" si="12"/>
        <v>13.728599999999998</v>
      </c>
      <c r="X150" s="29">
        <f t="shared" si="9"/>
        <v>89.998599999999996</v>
      </c>
      <c r="Y150" s="67"/>
    </row>
    <row r="151" spans="1:25" ht="62.4">
      <c r="A151" s="60">
        <v>44593</v>
      </c>
      <c r="B151" s="31" t="s">
        <v>343</v>
      </c>
      <c r="C151" s="31" t="s">
        <v>21</v>
      </c>
      <c r="D151" s="68" t="s">
        <v>22</v>
      </c>
      <c r="E151" s="31">
        <v>1</v>
      </c>
      <c r="F151" s="31" t="s">
        <v>24</v>
      </c>
      <c r="G151" s="31">
        <v>4</v>
      </c>
      <c r="H151" s="65" t="s">
        <v>28</v>
      </c>
      <c r="I151" s="31" t="s">
        <v>51</v>
      </c>
      <c r="J151" s="66"/>
      <c r="K151" s="60"/>
      <c r="L151" s="63">
        <v>44593</v>
      </c>
      <c r="M151" s="50"/>
      <c r="N151" s="64" t="s">
        <v>133</v>
      </c>
      <c r="O151" s="50">
        <v>1</v>
      </c>
      <c r="P151" s="25"/>
      <c r="Q151" s="26" t="s">
        <v>27</v>
      </c>
      <c r="R151" s="27"/>
      <c r="S151" s="28"/>
      <c r="T151" s="29">
        <v>16.95</v>
      </c>
      <c r="U151" s="29">
        <f t="shared" si="10"/>
        <v>16.95</v>
      </c>
      <c r="V151" s="29">
        <f t="shared" si="11"/>
        <v>16.95</v>
      </c>
      <c r="W151" s="29">
        <f t="shared" si="12"/>
        <v>3.0509999999999997</v>
      </c>
      <c r="X151" s="29">
        <f t="shared" si="9"/>
        <v>20.000999999999998</v>
      </c>
      <c r="Y151" s="67"/>
    </row>
    <row r="152" spans="1:25" ht="62.4">
      <c r="A152" s="60">
        <v>44593</v>
      </c>
      <c r="B152" s="31" t="s">
        <v>343</v>
      </c>
      <c r="C152" s="31" t="s">
        <v>21</v>
      </c>
      <c r="D152" s="68" t="s">
        <v>22</v>
      </c>
      <c r="E152" s="31">
        <v>1</v>
      </c>
      <c r="F152" s="31" t="s">
        <v>24</v>
      </c>
      <c r="G152" s="31">
        <v>4</v>
      </c>
      <c r="H152" s="65" t="s">
        <v>28</v>
      </c>
      <c r="I152" s="56" t="s">
        <v>35</v>
      </c>
      <c r="J152" s="66"/>
      <c r="K152" s="60"/>
      <c r="L152" s="63">
        <v>44593</v>
      </c>
      <c r="M152" s="50"/>
      <c r="N152" s="64" t="s">
        <v>133</v>
      </c>
      <c r="O152" s="50">
        <v>1</v>
      </c>
      <c r="P152" s="25"/>
      <c r="Q152" s="26" t="s">
        <v>27</v>
      </c>
      <c r="R152" s="27"/>
      <c r="S152" s="28"/>
      <c r="T152" s="29">
        <v>23.73</v>
      </c>
      <c r="U152" s="29">
        <f t="shared" si="10"/>
        <v>23.73</v>
      </c>
      <c r="V152" s="29">
        <f t="shared" si="11"/>
        <v>23.73</v>
      </c>
      <c r="W152" s="29">
        <f t="shared" si="12"/>
        <v>4.2713999999999999</v>
      </c>
      <c r="X152" s="29">
        <f t="shared" si="9"/>
        <v>28.0014</v>
      </c>
      <c r="Y152" s="67"/>
    </row>
    <row r="153" spans="1:25" ht="46.8">
      <c r="A153" s="60">
        <v>44593</v>
      </c>
      <c r="B153" s="31" t="s">
        <v>344</v>
      </c>
      <c r="C153" s="31" t="s">
        <v>21</v>
      </c>
      <c r="D153" s="68" t="s">
        <v>22</v>
      </c>
      <c r="E153" s="31">
        <v>1</v>
      </c>
      <c r="F153" s="31" t="s">
        <v>24</v>
      </c>
      <c r="G153" s="65">
        <v>4</v>
      </c>
      <c r="H153" s="65" t="s">
        <v>28</v>
      </c>
      <c r="I153" s="56" t="s">
        <v>31</v>
      </c>
      <c r="J153" s="66"/>
      <c r="K153" s="60"/>
      <c r="L153" s="63">
        <v>44593</v>
      </c>
      <c r="M153" s="50"/>
      <c r="N153" s="64" t="s">
        <v>134</v>
      </c>
      <c r="O153" s="50">
        <v>1</v>
      </c>
      <c r="P153" s="25"/>
      <c r="Q153" s="26" t="s">
        <v>27</v>
      </c>
      <c r="R153" s="27"/>
      <c r="S153" s="28"/>
      <c r="T153" s="29">
        <v>21.19</v>
      </c>
      <c r="U153" s="29">
        <f t="shared" si="10"/>
        <v>21.19</v>
      </c>
      <c r="V153" s="29">
        <f t="shared" si="11"/>
        <v>21.19</v>
      </c>
      <c r="W153" s="29">
        <f t="shared" si="12"/>
        <v>3.8142</v>
      </c>
      <c r="X153" s="29">
        <f t="shared" si="9"/>
        <v>25.004200000000001</v>
      </c>
      <c r="Y153" s="67"/>
    </row>
    <row r="154" spans="1:25" ht="46.8">
      <c r="A154" s="60">
        <v>44593</v>
      </c>
      <c r="B154" s="31" t="s">
        <v>344</v>
      </c>
      <c r="C154" s="31" t="s">
        <v>21</v>
      </c>
      <c r="D154" s="68" t="s">
        <v>22</v>
      </c>
      <c r="E154" s="31">
        <v>1</v>
      </c>
      <c r="F154" s="31" t="s">
        <v>24</v>
      </c>
      <c r="G154" s="31">
        <v>4</v>
      </c>
      <c r="H154" s="31" t="s">
        <v>28</v>
      </c>
      <c r="I154" s="56" t="s">
        <v>99</v>
      </c>
      <c r="J154" s="66"/>
      <c r="K154" s="60"/>
      <c r="L154" s="63">
        <v>44593</v>
      </c>
      <c r="M154" s="50"/>
      <c r="N154" s="64" t="s">
        <v>134</v>
      </c>
      <c r="O154" s="50">
        <v>1</v>
      </c>
      <c r="P154" s="25"/>
      <c r="Q154" s="26" t="s">
        <v>27</v>
      </c>
      <c r="R154" s="27"/>
      <c r="S154" s="28"/>
      <c r="T154" s="29">
        <v>31.36</v>
      </c>
      <c r="U154" s="29">
        <f t="shared" si="10"/>
        <v>31.36</v>
      </c>
      <c r="V154" s="29">
        <f t="shared" si="11"/>
        <v>31.36</v>
      </c>
      <c r="W154" s="29">
        <f t="shared" si="12"/>
        <v>5.6448</v>
      </c>
      <c r="X154" s="29">
        <f t="shared" si="9"/>
        <v>37.004800000000003</v>
      </c>
      <c r="Y154" s="67"/>
    </row>
    <row r="155" spans="1:25" ht="46.8">
      <c r="A155" s="60">
        <v>44593</v>
      </c>
      <c r="B155" s="31" t="s">
        <v>344</v>
      </c>
      <c r="C155" s="31" t="s">
        <v>21</v>
      </c>
      <c r="D155" s="68" t="s">
        <v>22</v>
      </c>
      <c r="E155" s="31">
        <v>1</v>
      </c>
      <c r="F155" s="31" t="s">
        <v>24</v>
      </c>
      <c r="G155" s="31">
        <v>4</v>
      </c>
      <c r="H155" s="31" t="s">
        <v>28</v>
      </c>
      <c r="I155" s="56" t="s">
        <v>49</v>
      </c>
      <c r="J155" s="66"/>
      <c r="K155" s="60"/>
      <c r="L155" s="63">
        <v>44593</v>
      </c>
      <c r="M155" s="50"/>
      <c r="N155" s="64" t="s">
        <v>134</v>
      </c>
      <c r="O155" s="50">
        <v>1</v>
      </c>
      <c r="P155" s="25"/>
      <c r="Q155" s="26" t="s">
        <v>27</v>
      </c>
      <c r="R155" s="27"/>
      <c r="S155" s="28"/>
      <c r="T155" s="29">
        <v>72.03</v>
      </c>
      <c r="U155" s="29">
        <f t="shared" si="10"/>
        <v>72.03</v>
      </c>
      <c r="V155" s="29">
        <f t="shared" si="11"/>
        <v>72.03</v>
      </c>
      <c r="W155" s="29">
        <f t="shared" si="12"/>
        <v>12.965399999999999</v>
      </c>
      <c r="X155" s="29">
        <f t="shared" si="9"/>
        <v>84.995400000000004</v>
      </c>
      <c r="Y155" s="67"/>
    </row>
    <row r="156" spans="1:25" ht="46.8">
      <c r="A156" s="60">
        <v>44593</v>
      </c>
      <c r="B156" s="31" t="s">
        <v>345</v>
      </c>
      <c r="C156" s="31" t="s">
        <v>21</v>
      </c>
      <c r="D156" s="68" t="s">
        <v>22</v>
      </c>
      <c r="E156" s="31">
        <v>1</v>
      </c>
      <c r="F156" s="31" t="s">
        <v>24</v>
      </c>
      <c r="G156" s="65">
        <v>1</v>
      </c>
      <c r="H156" s="65" t="s">
        <v>28</v>
      </c>
      <c r="I156" s="56" t="s">
        <v>117</v>
      </c>
      <c r="J156" s="66"/>
      <c r="K156" s="60"/>
      <c r="L156" s="63">
        <v>44593</v>
      </c>
      <c r="M156" s="50"/>
      <c r="N156" s="64" t="s">
        <v>135</v>
      </c>
      <c r="O156" s="50">
        <v>1</v>
      </c>
      <c r="P156" s="25"/>
      <c r="Q156" s="26" t="s">
        <v>27</v>
      </c>
      <c r="R156" s="27"/>
      <c r="S156" s="28"/>
      <c r="T156" s="29">
        <v>10.17</v>
      </c>
      <c r="U156" s="29">
        <f t="shared" si="10"/>
        <v>10.17</v>
      </c>
      <c r="V156" s="29">
        <f t="shared" si="11"/>
        <v>10.17</v>
      </c>
      <c r="W156" s="29">
        <f t="shared" si="12"/>
        <v>1.8306</v>
      </c>
      <c r="X156" s="29">
        <f t="shared" si="9"/>
        <v>12.0006</v>
      </c>
      <c r="Y156" s="67"/>
    </row>
    <row r="157" spans="1:25" ht="31.2">
      <c r="A157" s="60">
        <v>44593</v>
      </c>
      <c r="B157" s="35" t="s">
        <v>346</v>
      </c>
      <c r="C157" s="31" t="s">
        <v>21</v>
      </c>
      <c r="D157" s="68" t="s">
        <v>22</v>
      </c>
      <c r="E157" s="31">
        <v>3</v>
      </c>
      <c r="F157" s="31" t="s">
        <v>24</v>
      </c>
      <c r="G157" s="31">
        <v>4</v>
      </c>
      <c r="H157" s="31" t="s">
        <v>28</v>
      </c>
      <c r="I157" s="56" t="s">
        <v>49</v>
      </c>
      <c r="J157" s="66"/>
      <c r="K157" s="60"/>
      <c r="L157" s="63">
        <v>44593</v>
      </c>
      <c r="M157" s="50"/>
      <c r="N157" s="64">
        <v>67</v>
      </c>
      <c r="O157" s="50">
        <v>1</v>
      </c>
      <c r="P157" s="25"/>
      <c r="Q157" s="26" t="s">
        <v>27</v>
      </c>
      <c r="R157" s="27"/>
      <c r="S157" s="28"/>
      <c r="T157" s="29">
        <v>72.034000000000006</v>
      </c>
      <c r="U157" s="29">
        <f t="shared" si="10"/>
        <v>216.10200000000003</v>
      </c>
      <c r="V157" s="29">
        <f t="shared" si="11"/>
        <v>216.10200000000003</v>
      </c>
      <c r="W157" s="29">
        <f t="shared" si="12"/>
        <v>38.898360000000004</v>
      </c>
      <c r="X157" s="29">
        <f t="shared" si="9"/>
        <v>255.00036000000003</v>
      </c>
      <c r="Y157" s="67"/>
    </row>
    <row r="158" spans="1:25" ht="46.8">
      <c r="A158" s="60">
        <v>44594</v>
      </c>
      <c r="B158" s="31" t="s">
        <v>347</v>
      </c>
      <c r="C158" s="31" t="s">
        <v>21</v>
      </c>
      <c r="D158" s="68" t="s">
        <v>22</v>
      </c>
      <c r="E158" s="31">
        <v>1</v>
      </c>
      <c r="F158" s="31" t="s">
        <v>24</v>
      </c>
      <c r="G158" s="31">
        <v>0.5</v>
      </c>
      <c r="H158" s="31" t="s">
        <v>28</v>
      </c>
      <c r="I158" s="56" t="s">
        <v>52</v>
      </c>
      <c r="J158" s="66"/>
      <c r="K158" s="60"/>
      <c r="L158" s="63">
        <v>44594</v>
      </c>
      <c r="M158" s="50"/>
      <c r="N158" s="64" t="s">
        <v>136</v>
      </c>
      <c r="O158" s="50">
        <v>1</v>
      </c>
      <c r="P158" s="25"/>
      <c r="Q158" s="26" t="s">
        <v>27</v>
      </c>
      <c r="R158" s="27"/>
      <c r="S158" s="28"/>
      <c r="T158" s="29">
        <v>6.78</v>
      </c>
      <c r="U158" s="29">
        <f t="shared" si="10"/>
        <v>6.78</v>
      </c>
      <c r="V158" s="29">
        <f t="shared" si="11"/>
        <v>6.78</v>
      </c>
      <c r="W158" s="29">
        <f t="shared" si="12"/>
        <v>1.2203999999999999</v>
      </c>
      <c r="X158" s="29">
        <f t="shared" si="9"/>
        <v>8.0004000000000008</v>
      </c>
      <c r="Y158" s="67"/>
    </row>
    <row r="159" spans="1:25" ht="46.8">
      <c r="A159" s="73">
        <v>44594</v>
      </c>
      <c r="B159" s="30" t="s">
        <v>348</v>
      </c>
      <c r="C159" s="69" t="s">
        <v>21</v>
      </c>
      <c r="D159" s="70" t="s">
        <v>22</v>
      </c>
      <c r="E159" s="30">
        <v>1</v>
      </c>
      <c r="F159" s="30" t="s">
        <v>24</v>
      </c>
      <c r="G159" s="30">
        <v>1</v>
      </c>
      <c r="H159" s="30" t="s">
        <v>28</v>
      </c>
      <c r="I159" s="45" t="s">
        <v>45</v>
      </c>
      <c r="J159" s="71"/>
      <c r="K159" s="72"/>
      <c r="L159" s="73">
        <v>44594</v>
      </c>
      <c r="M159" s="30"/>
      <c r="N159" s="74">
        <v>68</v>
      </c>
      <c r="O159" s="30">
        <v>1</v>
      </c>
      <c r="P159" s="25"/>
      <c r="Q159" s="34" t="s">
        <v>27</v>
      </c>
      <c r="R159" s="75"/>
      <c r="S159" s="76"/>
      <c r="T159" s="77">
        <v>10.17</v>
      </c>
      <c r="U159" s="78">
        <f t="shared" si="10"/>
        <v>10.17</v>
      </c>
      <c r="V159" s="78">
        <f t="shared" si="11"/>
        <v>10.17</v>
      </c>
      <c r="W159" s="30">
        <f t="shared" si="12"/>
        <v>1.8306</v>
      </c>
      <c r="X159" s="79">
        <f t="shared" si="9"/>
        <v>12.0006</v>
      </c>
      <c r="Y159" s="44"/>
    </row>
    <row r="160" spans="1:25" ht="31.2">
      <c r="A160" s="73">
        <v>44594</v>
      </c>
      <c r="B160" s="30" t="s">
        <v>348</v>
      </c>
      <c r="C160" s="69" t="s">
        <v>21</v>
      </c>
      <c r="D160" s="70" t="s">
        <v>22</v>
      </c>
      <c r="E160" s="30">
        <v>1</v>
      </c>
      <c r="F160" s="30" t="s">
        <v>24</v>
      </c>
      <c r="G160" s="30">
        <v>0.5</v>
      </c>
      <c r="H160" s="30" t="s">
        <v>28</v>
      </c>
      <c r="I160" s="45" t="s">
        <v>52</v>
      </c>
      <c r="J160" s="71"/>
      <c r="K160" s="72"/>
      <c r="L160" s="73">
        <v>44594</v>
      </c>
      <c r="M160" s="30"/>
      <c r="N160" s="74">
        <v>68</v>
      </c>
      <c r="O160" s="30">
        <v>1</v>
      </c>
      <c r="P160" s="25"/>
      <c r="Q160" s="34" t="s">
        <v>27</v>
      </c>
      <c r="R160" s="75"/>
      <c r="S160" s="76"/>
      <c r="T160" s="77">
        <v>6.78</v>
      </c>
      <c r="U160" s="30">
        <f t="shared" si="10"/>
        <v>6.78</v>
      </c>
      <c r="V160" s="30">
        <f t="shared" si="11"/>
        <v>6.78</v>
      </c>
      <c r="W160" s="30">
        <f t="shared" si="12"/>
        <v>1.2203999999999999</v>
      </c>
      <c r="X160" s="79">
        <f t="shared" si="9"/>
        <v>8.0004000000000008</v>
      </c>
      <c r="Y160" s="44"/>
    </row>
    <row r="161" spans="1:25" ht="31.2">
      <c r="A161" s="73">
        <v>44594</v>
      </c>
      <c r="B161" s="30" t="s">
        <v>348</v>
      </c>
      <c r="C161" s="69" t="s">
        <v>21</v>
      </c>
      <c r="D161" s="70" t="s">
        <v>22</v>
      </c>
      <c r="E161" s="30">
        <v>1</v>
      </c>
      <c r="F161" s="30" t="s">
        <v>24</v>
      </c>
      <c r="G161" s="30">
        <v>4</v>
      </c>
      <c r="H161" s="30" t="s">
        <v>28</v>
      </c>
      <c r="I161" s="45" t="s">
        <v>52</v>
      </c>
      <c r="J161" s="71"/>
      <c r="K161" s="72"/>
      <c r="L161" s="73">
        <v>44594</v>
      </c>
      <c r="M161" s="30"/>
      <c r="N161" s="74">
        <v>68</v>
      </c>
      <c r="O161" s="30">
        <v>1</v>
      </c>
      <c r="P161" s="25"/>
      <c r="Q161" s="34" t="s">
        <v>27</v>
      </c>
      <c r="R161" s="75"/>
      <c r="S161" s="76"/>
      <c r="T161" s="77">
        <v>16.95</v>
      </c>
      <c r="U161" s="30">
        <f t="shared" si="10"/>
        <v>16.95</v>
      </c>
      <c r="V161" s="30">
        <f t="shared" si="11"/>
        <v>16.95</v>
      </c>
      <c r="W161" s="30">
        <f t="shared" si="12"/>
        <v>3.0509999999999997</v>
      </c>
      <c r="X161" s="79">
        <f t="shared" si="9"/>
        <v>20.000999999999998</v>
      </c>
      <c r="Y161" s="44"/>
    </row>
    <row r="162" spans="1:25" ht="31.2">
      <c r="A162" s="73">
        <v>44594</v>
      </c>
      <c r="B162" s="30" t="s">
        <v>348</v>
      </c>
      <c r="C162" s="69" t="s">
        <v>21</v>
      </c>
      <c r="D162" s="70" t="s">
        <v>22</v>
      </c>
      <c r="E162" s="30">
        <v>2</v>
      </c>
      <c r="F162" s="30" t="s">
        <v>24</v>
      </c>
      <c r="G162" s="30">
        <v>4</v>
      </c>
      <c r="H162" s="30" t="s">
        <v>28</v>
      </c>
      <c r="I162" s="45" t="s">
        <v>51</v>
      </c>
      <c r="J162" s="71"/>
      <c r="K162" s="72"/>
      <c r="L162" s="73">
        <v>44594</v>
      </c>
      <c r="M162" s="30"/>
      <c r="N162" s="74">
        <v>68</v>
      </c>
      <c r="O162" s="30">
        <v>1</v>
      </c>
      <c r="P162" s="25"/>
      <c r="Q162" s="34" t="s">
        <v>27</v>
      </c>
      <c r="R162" s="75"/>
      <c r="S162" s="76"/>
      <c r="T162" s="77">
        <v>16.95</v>
      </c>
      <c r="U162" s="30">
        <f t="shared" si="10"/>
        <v>33.9</v>
      </c>
      <c r="V162" s="30">
        <f t="shared" si="11"/>
        <v>33.9</v>
      </c>
      <c r="W162" s="30">
        <f t="shared" si="12"/>
        <v>6.1019999999999994</v>
      </c>
      <c r="X162" s="79">
        <f t="shared" si="9"/>
        <v>40.001999999999995</v>
      </c>
      <c r="Y162" s="44"/>
    </row>
    <row r="163" spans="1:25" ht="31.2">
      <c r="A163" s="73">
        <v>44595</v>
      </c>
      <c r="B163" s="30" t="s">
        <v>349</v>
      </c>
      <c r="C163" s="69" t="s">
        <v>21</v>
      </c>
      <c r="D163" s="70" t="s">
        <v>22</v>
      </c>
      <c r="E163" s="30">
        <v>1</v>
      </c>
      <c r="F163" s="30" t="s">
        <v>24</v>
      </c>
      <c r="G163" s="30">
        <v>4</v>
      </c>
      <c r="H163" s="30" t="s">
        <v>28</v>
      </c>
      <c r="I163" s="45" t="s">
        <v>137</v>
      </c>
      <c r="J163" s="71"/>
      <c r="K163" s="72"/>
      <c r="L163" s="73">
        <v>44595</v>
      </c>
      <c r="M163" s="30"/>
      <c r="N163" s="74">
        <v>69</v>
      </c>
      <c r="O163" s="30">
        <v>1</v>
      </c>
      <c r="P163" s="25"/>
      <c r="Q163" s="34" t="s">
        <v>27</v>
      </c>
      <c r="R163" s="75"/>
      <c r="S163" s="76"/>
      <c r="T163" s="77">
        <v>72.034000000000006</v>
      </c>
      <c r="U163" s="30">
        <f t="shared" si="10"/>
        <v>72.034000000000006</v>
      </c>
      <c r="V163" s="30">
        <f t="shared" si="11"/>
        <v>72.034000000000006</v>
      </c>
      <c r="W163" s="30">
        <f t="shared" si="12"/>
        <v>12.96612</v>
      </c>
      <c r="X163" s="79">
        <f t="shared" si="9"/>
        <v>85.00012000000001</v>
      </c>
      <c r="Y163" s="44"/>
    </row>
    <row r="164" spans="1:25" ht="93.6">
      <c r="A164" s="73">
        <v>44595</v>
      </c>
      <c r="B164" s="30" t="s">
        <v>350</v>
      </c>
      <c r="C164" s="69" t="s">
        <v>21</v>
      </c>
      <c r="D164" s="70" t="s">
        <v>22</v>
      </c>
      <c r="E164" s="30">
        <v>1</v>
      </c>
      <c r="F164" s="30" t="s">
        <v>24</v>
      </c>
      <c r="G164" s="30">
        <v>1</v>
      </c>
      <c r="H164" s="30" t="s">
        <v>32</v>
      </c>
      <c r="I164" s="45" t="s">
        <v>33</v>
      </c>
      <c r="J164" s="71"/>
      <c r="K164" s="72"/>
      <c r="L164" s="73">
        <v>44595</v>
      </c>
      <c r="M164" s="30"/>
      <c r="N164" s="74" t="s">
        <v>138</v>
      </c>
      <c r="O164" s="30">
        <v>1</v>
      </c>
      <c r="P164" s="25"/>
      <c r="Q164" s="34" t="s">
        <v>27</v>
      </c>
      <c r="R164" s="75">
        <v>8.82</v>
      </c>
      <c r="S164" s="76"/>
      <c r="T164" s="77">
        <v>110.17</v>
      </c>
      <c r="U164" s="30">
        <f t="shared" si="10"/>
        <v>101.35</v>
      </c>
      <c r="V164" s="30">
        <f t="shared" si="11"/>
        <v>101.35</v>
      </c>
      <c r="W164" s="30">
        <f t="shared" si="12"/>
        <v>18.242999999999999</v>
      </c>
      <c r="X164" s="79">
        <f t="shared" si="9"/>
        <v>119.59299999999999</v>
      </c>
      <c r="Y164" s="44"/>
    </row>
    <row r="165" spans="1:25" ht="31.2">
      <c r="A165" s="73">
        <v>44595</v>
      </c>
      <c r="B165" s="30" t="s">
        <v>350</v>
      </c>
      <c r="C165" s="69" t="s">
        <v>21</v>
      </c>
      <c r="D165" s="70" t="s">
        <v>22</v>
      </c>
      <c r="E165" s="30">
        <v>2</v>
      </c>
      <c r="F165" s="30" t="s">
        <v>24</v>
      </c>
      <c r="G165" s="30">
        <v>4</v>
      </c>
      <c r="H165" s="30" t="s">
        <v>28</v>
      </c>
      <c r="I165" s="45" t="s">
        <v>92</v>
      </c>
      <c r="J165" s="71"/>
      <c r="K165" s="80"/>
      <c r="L165" s="73">
        <v>44595</v>
      </c>
      <c r="M165" s="30"/>
      <c r="N165" s="74" t="s">
        <v>138</v>
      </c>
      <c r="O165" s="30">
        <v>1</v>
      </c>
      <c r="P165" s="25"/>
      <c r="Q165" s="34" t="s">
        <v>27</v>
      </c>
      <c r="R165" s="75"/>
      <c r="S165" s="76"/>
      <c r="T165" s="77">
        <v>27.97</v>
      </c>
      <c r="U165" s="30">
        <f t="shared" si="10"/>
        <v>55.94</v>
      </c>
      <c r="V165" s="30">
        <f t="shared" si="11"/>
        <v>55.94</v>
      </c>
      <c r="W165" s="30">
        <f t="shared" si="12"/>
        <v>10.069199999999999</v>
      </c>
      <c r="X165" s="79">
        <f t="shared" si="9"/>
        <v>66.009199999999993</v>
      </c>
      <c r="Y165" s="44"/>
    </row>
    <row r="166" spans="1:25" ht="31.2">
      <c r="A166" s="73">
        <v>44595</v>
      </c>
      <c r="B166" s="30" t="s">
        <v>351</v>
      </c>
      <c r="C166" s="69" t="s">
        <v>21</v>
      </c>
      <c r="D166" s="70" t="s">
        <v>22</v>
      </c>
      <c r="E166" s="30">
        <v>1</v>
      </c>
      <c r="F166" s="30" t="s">
        <v>24</v>
      </c>
      <c r="G166" s="30">
        <v>4</v>
      </c>
      <c r="H166" s="30" t="s">
        <v>28</v>
      </c>
      <c r="I166" s="45" t="s">
        <v>49</v>
      </c>
      <c r="J166" s="71"/>
      <c r="K166" s="80"/>
      <c r="L166" s="73">
        <v>44595</v>
      </c>
      <c r="M166" s="30"/>
      <c r="N166" s="74" t="s">
        <v>139</v>
      </c>
      <c r="O166" s="30">
        <v>1</v>
      </c>
      <c r="P166" s="25"/>
      <c r="Q166" s="34" t="s">
        <v>27</v>
      </c>
      <c r="R166" s="75"/>
      <c r="S166" s="76"/>
      <c r="T166" s="77">
        <v>72.034000000000006</v>
      </c>
      <c r="U166" s="30">
        <f t="shared" si="10"/>
        <v>72.034000000000006</v>
      </c>
      <c r="V166" s="30">
        <f t="shared" si="11"/>
        <v>72.034000000000006</v>
      </c>
      <c r="W166" s="30">
        <f t="shared" si="12"/>
        <v>12.96612</v>
      </c>
      <c r="X166" s="79">
        <f t="shared" si="9"/>
        <v>85.00012000000001</v>
      </c>
      <c r="Y166" s="44"/>
    </row>
    <row r="167" spans="1:25" ht="31.2">
      <c r="A167" s="73">
        <v>44596</v>
      </c>
      <c r="B167" s="30" t="s">
        <v>352</v>
      </c>
      <c r="C167" s="69" t="s">
        <v>21</v>
      </c>
      <c r="D167" s="70" t="s">
        <v>22</v>
      </c>
      <c r="E167" s="30">
        <v>1</v>
      </c>
      <c r="F167" s="30" t="s">
        <v>24</v>
      </c>
      <c r="G167" s="30">
        <v>4</v>
      </c>
      <c r="H167" s="30" t="s">
        <v>28</v>
      </c>
      <c r="I167" s="45" t="s">
        <v>92</v>
      </c>
      <c r="J167" s="71"/>
      <c r="K167" s="80"/>
      <c r="L167" s="73">
        <v>44596</v>
      </c>
      <c r="M167" s="30"/>
      <c r="N167" s="74" t="s">
        <v>140</v>
      </c>
      <c r="O167" s="30">
        <v>1</v>
      </c>
      <c r="P167" s="25"/>
      <c r="Q167" s="34" t="s">
        <v>27</v>
      </c>
      <c r="R167" s="75"/>
      <c r="S167" s="76"/>
      <c r="T167" s="77">
        <v>27.97</v>
      </c>
      <c r="U167" s="30">
        <f t="shared" si="10"/>
        <v>27.97</v>
      </c>
      <c r="V167" s="30">
        <f t="shared" si="11"/>
        <v>27.97</v>
      </c>
      <c r="W167" s="30">
        <f t="shared" si="12"/>
        <v>5.0345999999999993</v>
      </c>
      <c r="X167" s="79">
        <f t="shared" si="9"/>
        <v>33.004599999999996</v>
      </c>
      <c r="Y167" s="44"/>
    </row>
    <row r="168" spans="1:25" ht="31.2">
      <c r="A168" s="73">
        <v>44597</v>
      </c>
      <c r="B168" s="30" t="s">
        <v>353</v>
      </c>
      <c r="C168" s="69" t="s">
        <v>21</v>
      </c>
      <c r="D168" s="70" t="s">
        <v>22</v>
      </c>
      <c r="E168" s="30">
        <v>1</v>
      </c>
      <c r="F168" s="30" t="s">
        <v>24</v>
      </c>
      <c r="G168" s="30">
        <v>0.5</v>
      </c>
      <c r="H168" s="30" t="s">
        <v>28</v>
      </c>
      <c r="I168" s="45" t="s">
        <v>51</v>
      </c>
      <c r="J168" s="71"/>
      <c r="K168" s="80"/>
      <c r="L168" s="73">
        <v>44597</v>
      </c>
      <c r="M168" s="30"/>
      <c r="N168" s="74" t="s">
        <v>141</v>
      </c>
      <c r="O168" s="30">
        <v>1</v>
      </c>
      <c r="P168" s="25"/>
      <c r="Q168" s="34" t="s">
        <v>27</v>
      </c>
      <c r="R168" s="75"/>
      <c r="S168" s="76"/>
      <c r="T168" s="77">
        <v>6.78</v>
      </c>
      <c r="U168" s="30">
        <f t="shared" si="10"/>
        <v>6.78</v>
      </c>
      <c r="V168" s="30">
        <f t="shared" si="11"/>
        <v>6.78</v>
      </c>
      <c r="W168" s="30">
        <f t="shared" si="12"/>
        <v>1.2203999999999999</v>
      </c>
      <c r="X168" s="79">
        <f t="shared" si="9"/>
        <v>8.0004000000000008</v>
      </c>
      <c r="Y168" s="44"/>
    </row>
    <row r="169" spans="1:25" ht="46.8">
      <c r="A169" s="73">
        <v>44597</v>
      </c>
      <c r="B169" s="30" t="s">
        <v>278</v>
      </c>
      <c r="C169" s="69" t="s">
        <v>21</v>
      </c>
      <c r="D169" s="70" t="s">
        <v>22</v>
      </c>
      <c r="E169" s="30">
        <v>1</v>
      </c>
      <c r="F169" s="30" t="s">
        <v>24</v>
      </c>
      <c r="G169" s="30">
        <v>1</v>
      </c>
      <c r="H169" s="30" t="s">
        <v>28</v>
      </c>
      <c r="I169" s="45" t="s">
        <v>142</v>
      </c>
      <c r="J169" s="71"/>
      <c r="K169" s="80"/>
      <c r="L169" s="73">
        <v>44597</v>
      </c>
      <c r="M169" s="30"/>
      <c r="N169" s="74" t="s">
        <v>143</v>
      </c>
      <c r="O169" s="30">
        <v>1</v>
      </c>
      <c r="P169" s="25"/>
      <c r="Q169" s="34" t="s">
        <v>27</v>
      </c>
      <c r="R169" s="75"/>
      <c r="S169" s="76"/>
      <c r="T169" s="77">
        <v>8.0500000000000007</v>
      </c>
      <c r="U169" s="30">
        <f t="shared" si="10"/>
        <v>8.0500000000000007</v>
      </c>
      <c r="V169" s="30">
        <f t="shared" si="11"/>
        <v>8.0500000000000007</v>
      </c>
      <c r="W169" s="30">
        <f t="shared" si="12"/>
        <v>1.4490000000000001</v>
      </c>
      <c r="X169" s="79">
        <f t="shared" si="9"/>
        <v>9.4990000000000006</v>
      </c>
      <c r="Y169" s="44"/>
    </row>
    <row r="170" spans="1:25" ht="15.6">
      <c r="A170" s="73">
        <v>44597</v>
      </c>
      <c r="B170" s="30" t="s">
        <v>278</v>
      </c>
      <c r="C170" s="69" t="s">
        <v>21</v>
      </c>
      <c r="D170" s="70" t="s">
        <v>22</v>
      </c>
      <c r="E170" s="30">
        <v>1</v>
      </c>
      <c r="F170" s="30" t="s">
        <v>24</v>
      </c>
      <c r="G170" s="30">
        <v>1</v>
      </c>
      <c r="H170" s="30" t="s">
        <v>28</v>
      </c>
      <c r="I170" s="45" t="s">
        <v>35</v>
      </c>
      <c r="J170" s="71"/>
      <c r="K170" s="72"/>
      <c r="L170" s="73">
        <v>44597</v>
      </c>
      <c r="M170" s="30"/>
      <c r="N170" s="74" t="s">
        <v>143</v>
      </c>
      <c r="O170" s="30">
        <v>1</v>
      </c>
      <c r="P170" s="25"/>
      <c r="Q170" s="34" t="s">
        <v>27</v>
      </c>
      <c r="R170" s="75"/>
      <c r="S170" s="76"/>
      <c r="T170" s="77">
        <v>8.0500000000000007</v>
      </c>
      <c r="U170" s="30">
        <f t="shared" si="10"/>
        <v>8.0500000000000007</v>
      </c>
      <c r="V170" s="30">
        <f t="shared" si="11"/>
        <v>8.0500000000000007</v>
      </c>
      <c r="W170" s="30">
        <f t="shared" si="12"/>
        <v>1.4490000000000001</v>
      </c>
      <c r="X170" s="79">
        <f t="shared" si="9"/>
        <v>9.4990000000000006</v>
      </c>
      <c r="Y170" s="44"/>
    </row>
    <row r="171" spans="1:25" ht="31.2">
      <c r="A171" s="73">
        <v>44597</v>
      </c>
      <c r="B171" s="30" t="s">
        <v>354</v>
      </c>
      <c r="C171" s="69" t="s">
        <v>21</v>
      </c>
      <c r="D171" s="70" t="s">
        <v>22</v>
      </c>
      <c r="E171" s="30">
        <v>1</v>
      </c>
      <c r="F171" s="30" t="s">
        <v>24</v>
      </c>
      <c r="G171" s="30">
        <v>1</v>
      </c>
      <c r="H171" s="30" t="s">
        <v>28</v>
      </c>
      <c r="I171" s="45" t="s">
        <v>49</v>
      </c>
      <c r="J171" s="71"/>
      <c r="K171" s="72"/>
      <c r="L171" s="73">
        <v>44597</v>
      </c>
      <c r="M171" s="30"/>
      <c r="N171" s="74" t="s">
        <v>144</v>
      </c>
      <c r="O171" s="30">
        <v>1</v>
      </c>
      <c r="P171" s="25"/>
      <c r="Q171" s="34" t="s">
        <v>27</v>
      </c>
      <c r="R171" s="75"/>
      <c r="S171" s="76"/>
      <c r="T171" s="77">
        <v>21.19</v>
      </c>
      <c r="U171" s="30">
        <f t="shared" si="10"/>
        <v>21.19</v>
      </c>
      <c r="V171" s="30">
        <f t="shared" si="11"/>
        <v>21.19</v>
      </c>
      <c r="W171" s="30">
        <f t="shared" si="12"/>
        <v>3.8142</v>
      </c>
      <c r="X171" s="79">
        <f t="shared" si="9"/>
        <v>25.004200000000001</v>
      </c>
      <c r="Y171" s="44"/>
    </row>
    <row r="172" spans="1:25" ht="31.2">
      <c r="A172" s="73">
        <v>44597</v>
      </c>
      <c r="B172" s="30" t="s">
        <v>355</v>
      </c>
      <c r="C172" s="69" t="s">
        <v>21</v>
      </c>
      <c r="D172" s="70" t="s">
        <v>22</v>
      </c>
      <c r="E172" s="30">
        <v>1</v>
      </c>
      <c r="F172" s="30" t="s">
        <v>24</v>
      </c>
      <c r="G172" s="30">
        <v>4</v>
      </c>
      <c r="H172" s="30" t="s">
        <v>28</v>
      </c>
      <c r="I172" s="45" t="s">
        <v>31</v>
      </c>
      <c r="J172" s="71"/>
      <c r="K172" s="72"/>
      <c r="L172" s="73">
        <v>44597</v>
      </c>
      <c r="M172" s="30"/>
      <c r="N172" s="74">
        <v>70</v>
      </c>
      <c r="O172" s="30">
        <v>1</v>
      </c>
      <c r="P172" s="25"/>
      <c r="Q172" s="34" t="s">
        <v>27</v>
      </c>
      <c r="R172" s="75"/>
      <c r="S172" s="76"/>
      <c r="T172" s="77">
        <v>21.19</v>
      </c>
      <c r="U172" s="30">
        <f t="shared" si="10"/>
        <v>21.19</v>
      </c>
      <c r="V172" s="30">
        <f t="shared" si="11"/>
        <v>21.19</v>
      </c>
      <c r="W172" s="30">
        <f t="shared" si="12"/>
        <v>3.8142</v>
      </c>
      <c r="X172" s="79">
        <f t="shared" si="9"/>
        <v>25.004200000000001</v>
      </c>
      <c r="Y172" s="44"/>
    </row>
    <row r="173" spans="1:25" ht="46.8">
      <c r="A173" s="73">
        <v>44599</v>
      </c>
      <c r="B173" s="30" t="s">
        <v>320</v>
      </c>
      <c r="C173" s="69" t="s">
        <v>21</v>
      </c>
      <c r="D173" s="70" t="s">
        <v>22</v>
      </c>
      <c r="E173" s="30">
        <v>1</v>
      </c>
      <c r="F173" s="30" t="s">
        <v>24</v>
      </c>
      <c r="G173" s="30">
        <v>1</v>
      </c>
      <c r="H173" s="30" t="s">
        <v>28</v>
      </c>
      <c r="I173" s="45" t="s">
        <v>142</v>
      </c>
      <c r="J173" s="71"/>
      <c r="K173" s="72"/>
      <c r="L173" s="73">
        <v>44599</v>
      </c>
      <c r="M173" s="30"/>
      <c r="N173" s="74" t="s">
        <v>145</v>
      </c>
      <c r="O173" s="30">
        <v>1</v>
      </c>
      <c r="P173" s="25"/>
      <c r="Q173" s="34" t="s">
        <v>27</v>
      </c>
      <c r="R173" s="75"/>
      <c r="S173" s="76"/>
      <c r="T173" s="77">
        <v>8.06</v>
      </c>
      <c r="U173" s="30">
        <f t="shared" si="10"/>
        <v>8.06</v>
      </c>
      <c r="V173" s="30">
        <f t="shared" si="11"/>
        <v>8.06</v>
      </c>
      <c r="W173" s="30">
        <f t="shared" si="12"/>
        <v>1.4508000000000001</v>
      </c>
      <c r="X173" s="79">
        <f t="shared" si="9"/>
        <v>9.5107999999999997</v>
      </c>
      <c r="Y173" s="44"/>
    </row>
    <row r="174" spans="1:25" ht="31.2">
      <c r="A174" s="73">
        <v>44600</v>
      </c>
      <c r="B174" s="30" t="s">
        <v>356</v>
      </c>
      <c r="C174" s="69" t="s">
        <v>21</v>
      </c>
      <c r="D174" s="70" t="s">
        <v>22</v>
      </c>
      <c r="E174" s="30">
        <v>1</v>
      </c>
      <c r="F174" s="30" t="s">
        <v>24</v>
      </c>
      <c r="G174" s="30">
        <v>4</v>
      </c>
      <c r="H174" s="30" t="s">
        <v>28</v>
      </c>
      <c r="I174" s="45" t="s">
        <v>57</v>
      </c>
      <c r="J174" s="71"/>
      <c r="K174" s="72"/>
      <c r="L174" s="73">
        <v>44600</v>
      </c>
      <c r="M174" s="30"/>
      <c r="N174" s="74" t="s">
        <v>146</v>
      </c>
      <c r="O174" s="30">
        <v>1</v>
      </c>
      <c r="P174" s="25"/>
      <c r="Q174" s="34" t="s">
        <v>27</v>
      </c>
      <c r="R174" s="75"/>
      <c r="S174" s="76"/>
      <c r="T174" s="77">
        <v>16.95</v>
      </c>
      <c r="U174" s="30">
        <f t="shared" si="10"/>
        <v>16.95</v>
      </c>
      <c r="V174" s="30">
        <f t="shared" si="11"/>
        <v>16.95</v>
      </c>
      <c r="W174" s="30">
        <f t="shared" si="12"/>
        <v>3.0509999999999997</v>
      </c>
      <c r="X174" s="79">
        <f t="shared" si="9"/>
        <v>20.000999999999998</v>
      </c>
      <c r="Y174" s="44"/>
    </row>
    <row r="175" spans="1:25" ht="31.2">
      <c r="A175" s="73">
        <v>44602</v>
      </c>
      <c r="B175" s="30" t="s">
        <v>310</v>
      </c>
      <c r="C175" s="69" t="s">
        <v>21</v>
      </c>
      <c r="D175" s="70" t="s">
        <v>22</v>
      </c>
      <c r="E175" s="30">
        <v>1</v>
      </c>
      <c r="F175" s="30" t="s">
        <v>24</v>
      </c>
      <c r="G175" s="30">
        <v>4</v>
      </c>
      <c r="H175" s="30" t="s">
        <v>28</v>
      </c>
      <c r="I175" s="45" t="s">
        <v>92</v>
      </c>
      <c r="J175" s="71"/>
      <c r="K175" s="72"/>
      <c r="L175" s="73">
        <v>44602</v>
      </c>
      <c r="M175" s="30"/>
      <c r="N175" s="74" t="s">
        <v>147</v>
      </c>
      <c r="O175" s="30">
        <v>1</v>
      </c>
      <c r="P175" s="25"/>
      <c r="Q175" s="34" t="s">
        <v>27</v>
      </c>
      <c r="R175" s="75"/>
      <c r="S175" s="76"/>
      <c r="T175" s="77">
        <v>27.97</v>
      </c>
      <c r="U175" s="30">
        <f t="shared" si="10"/>
        <v>27.97</v>
      </c>
      <c r="V175" s="30">
        <f t="shared" si="11"/>
        <v>27.97</v>
      </c>
      <c r="W175" s="30">
        <f t="shared" si="12"/>
        <v>5.0345999999999993</v>
      </c>
      <c r="X175" s="79">
        <f t="shared" si="9"/>
        <v>33.004599999999996</v>
      </c>
      <c r="Y175" s="44"/>
    </row>
    <row r="176" spans="1:25" ht="31.2">
      <c r="A176" s="73">
        <v>44603</v>
      </c>
      <c r="B176" s="30" t="s">
        <v>357</v>
      </c>
      <c r="C176" s="69" t="s">
        <v>21</v>
      </c>
      <c r="D176" s="70" t="s">
        <v>22</v>
      </c>
      <c r="E176" s="30">
        <v>1</v>
      </c>
      <c r="F176" s="30" t="s">
        <v>24</v>
      </c>
      <c r="G176" s="30">
        <v>0.5</v>
      </c>
      <c r="H176" s="30" t="s">
        <v>28</v>
      </c>
      <c r="I176" s="45" t="s">
        <v>82</v>
      </c>
      <c r="J176" s="71"/>
      <c r="K176" s="72"/>
      <c r="L176" s="73">
        <v>44603</v>
      </c>
      <c r="M176" s="30"/>
      <c r="N176" s="74" t="s">
        <v>148</v>
      </c>
      <c r="O176" s="30">
        <v>1</v>
      </c>
      <c r="P176" s="25"/>
      <c r="Q176" s="34" t="s">
        <v>27</v>
      </c>
      <c r="R176" s="75"/>
      <c r="S176" s="76"/>
      <c r="T176" s="77">
        <v>6.78</v>
      </c>
      <c r="U176" s="30">
        <f t="shared" si="10"/>
        <v>6.78</v>
      </c>
      <c r="V176" s="30">
        <f t="shared" si="11"/>
        <v>6.78</v>
      </c>
      <c r="W176" s="30">
        <f t="shared" si="12"/>
        <v>1.2203999999999999</v>
      </c>
      <c r="X176" s="79">
        <f t="shared" si="9"/>
        <v>8.0004000000000008</v>
      </c>
      <c r="Y176" s="44"/>
    </row>
    <row r="177" spans="1:25" ht="15.6">
      <c r="A177" s="73">
        <v>44603</v>
      </c>
      <c r="B177" s="30" t="s">
        <v>358</v>
      </c>
      <c r="C177" s="69" t="s">
        <v>21</v>
      </c>
      <c r="D177" s="70" t="s">
        <v>22</v>
      </c>
      <c r="E177" s="30">
        <v>1</v>
      </c>
      <c r="F177" s="30" t="s">
        <v>24</v>
      </c>
      <c r="G177" s="30">
        <v>4</v>
      </c>
      <c r="H177" s="30" t="s">
        <v>28</v>
      </c>
      <c r="I177" s="45" t="s">
        <v>35</v>
      </c>
      <c r="J177" s="71"/>
      <c r="K177" s="72"/>
      <c r="L177" s="73">
        <v>44603</v>
      </c>
      <c r="M177" s="30"/>
      <c r="N177" s="74" t="s">
        <v>149</v>
      </c>
      <c r="O177" s="30">
        <v>1</v>
      </c>
      <c r="P177" s="25"/>
      <c r="Q177" s="34" t="s">
        <v>27</v>
      </c>
      <c r="R177" s="75"/>
      <c r="S177" s="76"/>
      <c r="T177" s="77">
        <v>23.73</v>
      </c>
      <c r="U177" s="30">
        <f t="shared" si="10"/>
        <v>23.73</v>
      </c>
      <c r="V177" s="30">
        <f t="shared" si="11"/>
        <v>23.73</v>
      </c>
      <c r="W177" s="30">
        <f t="shared" si="12"/>
        <v>4.2713999999999999</v>
      </c>
      <c r="X177" s="79">
        <f t="shared" si="9"/>
        <v>28.0014</v>
      </c>
      <c r="Y177" s="44"/>
    </row>
    <row r="178" spans="1:25" ht="31.2">
      <c r="A178" s="73">
        <v>37298</v>
      </c>
      <c r="B178" s="30" t="s">
        <v>358</v>
      </c>
      <c r="C178" s="69" t="s">
        <v>21</v>
      </c>
      <c r="D178" s="70" t="s">
        <v>22</v>
      </c>
      <c r="E178" s="30">
        <v>1</v>
      </c>
      <c r="F178" s="30" t="s">
        <v>24</v>
      </c>
      <c r="G178" s="30">
        <v>4</v>
      </c>
      <c r="H178" s="30" t="s">
        <v>28</v>
      </c>
      <c r="I178" s="45" t="s">
        <v>92</v>
      </c>
      <c r="J178" s="71"/>
      <c r="K178" s="72"/>
      <c r="L178" s="73">
        <v>44603</v>
      </c>
      <c r="M178" s="30"/>
      <c r="N178" s="74" t="s">
        <v>149</v>
      </c>
      <c r="O178" s="30">
        <v>1</v>
      </c>
      <c r="P178" s="25"/>
      <c r="Q178" s="34" t="s">
        <v>27</v>
      </c>
      <c r="R178" s="75"/>
      <c r="S178" s="76"/>
      <c r="T178" s="77">
        <v>27.97</v>
      </c>
      <c r="U178" s="30">
        <f t="shared" si="10"/>
        <v>27.97</v>
      </c>
      <c r="V178" s="30">
        <f t="shared" si="11"/>
        <v>27.97</v>
      </c>
      <c r="W178" s="30">
        <f t="shared" si="12"/>
        <v>5.0345999999999993</v>
      </c>
      <c r="X178" s="79">
        <f t="shared" si="9"/>
        <v>33.004599999999996</v>
      </c>
      <c r="Y178" s="44"/>
    </row>
    <row r="179" spans="1:25" ht="31.2">
      <c r="A179" s="73">
        <v>44604</v>
      </c>
      <c r="B179" s="30" t="s">
        <v>359</v>
      </c>
      <c r="C179" s="69" t="s">
        <v>21</v>
      </c>
      <c r="D179" s="70" t="s">
        <v>22</v>
      </c>
      <c r="E179" s="30">
        <v>1</v>
      </c>
      <c r="F179" s="30" t="s">
        <v>24</v>
      </c>
      <c r="G179" s="30">
        <v>4</v>
      </c>
      <c r="H179" s="30" t="s">
        <v>28</v>
      </c>
      <c r="I179" s="45" t="s">
        <v>48</v>
      </c>
      <c r="J179" s="71"/>
      <c r="K179" s="72"/>
      <c r="L179" s="73">
        <v>44604</v>
      </c>
      <c r="M179" s="30"/>
      <c r="N179" s="74">
        <v>72</v>
      </c>
      <c r="O179" s="30">
        <v>1</v>
      </c>
      <c r="P179" s="25"/>
      <c r="Q179" s="34" t="s">
        <v>27</v>
      </c>
      <c r="R179" s="75"/>
      <c r="S179" s="76"/>
      <c r="T179" s="77">
        <v>72.034000000000006</v>
      </c>
      <c r="U179" s="30">
        <f t="shared" si="10"/>
        <v>72.034000000000006</v>
      </c>
      <c r="V179" s="30">
        <f t="shared" si="11"/>
        <v>72.034000000000006</v>
      </c>
      <c r="W179" s="30">
        <f t="shared" si="12"/>
        <v>12.96612</v>
      </c>
      <c r="X179" s="79">
        <f t="shared" si="9"/>
        <v>85.00012000000001</v>
      </c>
      <c r="Y179" s="44"/>
    </row>
    <row r="180" spans="1:25" ht="31.2">
      <c r="A180" s="73">
        <v>44604</v>
      </c>
      <c r="B180" s="30" t="s">
        <v>360</v>
      </c>
      <c r="C180" s="69" t="s">
        <v>21</v>
      </c>
      <c r="D180" s="70" t="s">
        <v>22</v>
      </c>
      <c r="E180" s="30">
        <v>1</v>
      </c>
      <c r="F180" s="30" t="s">
        <v>24</v>
      </c>
      <c r="G180" s="30">
        <v>0.5</v>
      </c>
      <c r="H180" s="30" t="s">
        <v>28</v>
      </c>
      <c r="I180" s="45" t="s">
        <v>82</v>
      </c>
      <c r="J180" s="71"/>
      <c r="K180" s="72"/>
      <c r="L180" s="73">
        <v>44604</v>
      </c>
      <c r="M180" s="30"/>
      <c r="N180" s="74" t="s">
        <v>150</v>
      </c>
      <c r="O180" s="30">
        <v>1</v>
      </c>
      <c r="P180" s="25"/>
      <c r="Q180" s="34" t="s">
        <v>27</v>
      </c>
      <c r="R180" s="75"/>
      <c r="S180" s="76"/>
      <c r="T180" s="77">
        <v>6.78</v>
      </c>
      <c r="U180" s="30">
        <f t="shared" si="10"/>
        <v>6.78</v>
      </c>
      <c r="V180" s="30">
        <f t="shared" si="11"/>
        <v>6.78</v>
      </c>
      <c r="W180" s="30">
        <f t="shared" si="12"/>
        <v>1.2203999999999999</v>
      </c>
      <c r="X180" s="79">
        <f t="shared" si="9"/>
        <v>8.0004000000000008</v>
      </c>
      <c r="Y180" s="44"/>
    </row>
    <row r="181" spans="1:25" ht="31.2">
      <c r="A181" s="73">
        <v>44606</v>
      </c>
      <c r="B181" s="30" t="s">
        <v>320</v>
      </c>
      <c r="C181" s="69" t="s">
        <v>21</v>
      </c>
      <c r="D181" s="70" t="s">
        <v>22</v>
      </c>
      <c r="E181" s="30">
        <v>1</v>
      </c>
      <c r="F181" s="30" t="s">
        <v>24</v>
      </c>
      <c r="G181" s="30">
        <v>1</v>
      </c>
      <c r="H181" s="30" t="s">
        <v>28</v>
      </c>
      <c r="I181" s="45" t="s">
        <v>82</v>
      </c>
      <c r="J181" s="71"/>
      <c r="K181" s="72"/>
      <c r="L181" s="73">
        <v>44606</v>
      </c>
      <c r="M181" s="30"/>
      <c r="N181" s="74" t="s">
        <v>151</v>
      </c>
      <c r="O181" s="30">
        <v>1</v>
      </c>
      <c r="P181" s="25"/>
      <c r="Q181" s="34" t="s">
        <v>27</v>
      </c>
      <c r="R181" s="75"/>
      <c r="S181" s="76"/>
      <c r="T181" s="77">
        <v>10.17</v>
      </c>
      <c r="U181" s="30">
        <f t="shared" si="10"/>
        <v>10.17</v>
      </c>
      <c r="V181" s="30">
        <f t="shared" si="11"/>
        <v>10.17</v>
      </c>
      <c r="W181" s="30">
        <f t="shared" si="12"/>
        <v>1.8306</v>
      </c>
      <c r="X181" s="79">
        <f t="shared" si="9"/>
        <v>12.0006</v>
      </c>
      <c r="Y181" s="44"/>
    </row>
    <row r="182" spans="1:25" ht="93.6">
      <c r="A182" s="73">
        <v>44606</v>
      </c>
      <c r="B182" s="30" t="s">
        <v>361</v>
      </c>
      <c r="C182" s="69" t="s">
        <v>21</v>
      </c>
      <c r="D182" s="70" t="s">
        <v>22</v>
      </c>
      <c r="E182" s="30">
        <v>1</v>
      </c>
      <c r="F182" s="30" t="s">
        <v>24</v>
      </c>
      <c r="G182" s="30">
        <v>1</v>
      </c>
      <c r="H182" s="30" t="s">
        <v>24</v>
      </c>
      <c r="I182" s="45" t="s">
        <v>152</v>
      </c>
      <c r="J182" s="71"/>
      <c r="K182" s="80"/>
      <c r="L182" s="73">
        <v>44606</v>
      </c>
      <c r="M182" s="30"/>
      <c r="N182" s="74" t="s">
        <v>153</v>
      </c>
      <c r="O182" s="30">
        <v>1</v>
      </c>
      <c r="P182" s="25"/>
      <c r="Q182" s="34" t="s">
        <v>27</v>
      </c>
      <c r="R182" s="75"/>
      <c r="S182" s="76"/>
      <c r="T182" s="77">
        <v>3.39</v>
      </c>
      <c r="U182" s="30">
        <f t="shared" si="10"/>
        <v>3.39</v>
      </c>
      <c r="V182" s="30">
        <f t="shared" si="11"/>
        <v>3.39</v>
      </c>
      <c r="W182" s="30">
        <f t="shared" si="12"/>
        <v>0.61019999999999996</v>
      </c>
      <c r="X182" s="79">
        <f t="shared" si="9"/>
        <v>4.0002000000000004</v>
      </c>
      <c r="Y182" s="44"/>
    </row>
    <row r="183" spans="1:25" ht="109.2">
      <c r="A183" s="73">
        <v>44606</v>
      </c>
      <c r="B183" s="30" t="s">
        <v>361</v>
      </c>
      <c r="C183" s="69" t="s">
        <v>21</v>
      </c>
      <c r="D183" s="70" t="s">
        <v>22</v>
      </c>
      <c r="E183" s="30">
        <v>1</v>
      </c>
      <c r="F183" s="30" t="s">
        <v>24</v>
      </c>
      <c r="G183" s="30">
        <v>1</v>
      </c>
      <c r="H183" s="30" t="s">
        <v>108</v>
      </c>
      <c r="I183" s="45" t="s">
        <v>74</v>
      </c>
      <c r="J183" s="71"/>
      <c r="K183" s="80"/>
      <c r="L183" s="73">
        <v>44606</v>
      </c>
      <c r="M183" s="30"/>
      <c r="N183" s="74" t="s">
        <v>153</v>
      </c>
      <c r="O183" s="30">
        <v>1</v>
      </c>
      <c r="P183" s="25"/>
      <c r="Q183" s="34" t="s">
        <v>27</v>
      </c>
      <c r="R183" s="75"/>
      <c r="S183" s="76"/>
      <c r="T183" s="77">
        <v>25.42</v>
      </c>
      <c r="U183" s="30">
        <f t="shared" si="10"/>
        <v>25.42</v>
      </c>
      <c r="V183" s="30">
        <f t="shared" si="11"/>
        <v>25.42</v>
      </c>
      <c r="W183" s="30">
        <f t="shared" si="12"/>
        <v>4.5756000000000006</v>
      </c>
      <c r="X183" s="79">
        <f t="shared" si="9"/>
        <v>29.995600000000003</v>
      </c>
      <c r="Y183" s="44"/>
    </row>
    <row r="184" spans="1:25" ht="31.2">
      <c r="A184" s="73">
        <v>44606</v>
      </c>
      <c r="B184" s="30" t="s">
        <v>361</v>
      </c>
      <c r="C184" s="69" t="s">
        <v>21</v>
      </c>
      <c r="D184" s="70" t="s">
        <v>22</v>
      </c>
      <c r="E184" s="30">
        <v>1</v>
      </c>
      <c r="F184" s="30" t="s">
        <v>24</v>
      </c>
      <c r="G184" s="30">
        <v>0.5</v>
      </c>
      <c r="H184" s="30" t="s">
        <v>28</v>
      </c>
      <c r="I184" s="45" t="s">
        <v>51</v>
      </c>
      <c r="J184" s="71"/>
      <c r="K184" s="80"/>
      <c r="L184" s="73">
        <v>44606</v>
      </c>
      <c r="M184" s="30"/>
      <c r="N184" s="74" t="s">
        <v>153</v>
      </c>
      <c r="O184" s="30">
        <v>1</v>
      </c>
      <c r="P184" s="25"/>
      <c r="Q184" s="34" t="s">
        <v>27</v>
      </c>
      <c r="R184" s="75"/>
      <c r="S184" s="76"/>
      <c r="T184" s="77">
        <v>6.78</v>
      </c>
      <c r="U184" s="30">
        <f t="shared" si="10"/>
        <v>6.78</v>
      </c>
      <c r="V184" s="30">
        <f t="shared" si="11"/>
        <v>6.78</v>
      </c>
      <c r="W184" s="30">
        <f t="shared" si="12"/>
        <v>1.2203999999999999</v>
      </c>
      <c r="X184" s="79">
        <f t="shared" si="9"/>
        <v>8.0004000000000008</v>
      </c>
      <c r="Y184" s="44"/>
    </row>
    <row r="185" spans="1:25" ht="31.2">
      <c r="A185" s="73">
        <v>44606</v>
      </c>
      <c r="B185" s="30" t="s">
        <v>361</v>
      </c>
      <c r="C185" s="69" t="s">
        <v>21</v>
      </c>
      <c r="D185" s="70" t="s">
        <v>22</v>
      </c>
      <c r="E185" s="30">
        <v>1</v>
      </c>
      <c r="F185" s="30" t="s">
        <v>24</v>
      </c>
      <c r="G185" s="30">
        <v>0.5</v>
      </c>
      <c r="H185" s="30" t="s">
        <v>28</v>
      </c>
      <c r="I185" s="45" t="s">
        <v>82</v>
      </c>
      <c r="J185" s="71"/>
      <c r="K185" s="80"/>
      <c r="L185" s="73">
        <v>44606</v>
      </c>
      <c r="M185" s="30"/>
      <c r="N185" s="74" t="s">
        <v>153</v>
      </c>
      <c r="O185" s="30">
        <v>1</v>
      </c>
      <c r="P185" s="25"/>
      <c r="Q185" s="34" t="s">
        <v>27</v>
      </c>
      <c r="R185" s="75"/>
      <c r="S185" s="76"/>
      <c r="T185" s="77">
        <v>6.78</v>
      </c>
      <c r="U185" s="30">
        <f t="shared" si="10"/>
        <v>6.78</v>
      </c>
      <c r="V185" s="30">
        <f t="shared" si="11"/>
        <v>6.78</v>
      </c>
      <c r="W185" s="30">
        <f t="shared" si="12"/>
        <v>1.2203999999999999</v>
      </c>
      <c r="X185" s="79">
        <f t="shared" si="9"/>
        <v>8.0004000000000008</v>
      </c>
      <c r="Y185" s="44"/>
    </row>
    <row r="186" spans="1:25" ht="15.6">
      <c r="A186" s="73">
        <v>44606</v>
      </c>
      <c r="B186" s="30" t="s">
        <v>361</v>
      </c>
      <c r="C186" s="69" t="s">
        <v>21</v>
      </c>
      <c r="D186" s="70" t="s">
        <v>22</v>
      </c>
      <c r="E186" s="30">
        <v>1</v>
      </c>
      <c r="F186" s="30" t="s">
        <v>24</v>
      </c>
      <c r="G186" s="30">
        <v>4</v>
      </c>
      <c r="H186" s="30" t="s">
        <v>28</v>
      </c>
      <c r="I186" s="45" t="s">
        <v>35</v>
      </c>
      <c r="J186" s="71"/>
      <c r="K186" s="80"/>
      <c r="L186" s="73">
        <v>44606</v>
      </c>
      <c r="M186" s="30"/>
      <c r="N186" s="74" t="s">
        <v>153</v>
      </c>
      <c r="O186" s="30">
        <v>1</v>
      </c>
      <c r="P186" s="25"/>
      <c r="Q186" s="34" t="s">
        <v>27</v>
      </c>
      <c r="R186" s="75"/>
      <c r="S186" s="76"/>
      <c r="T186" s="77">
        <v>23.73</v>
      </c>
      <c r="U186" s="30">
        <f t="shared" si="10"/>
        <v>23.73</v>
      </c>
      <c r="V186" s="30">
        <f t="shared" si="11"/>
        <v>23.73</v>
      </c>
      <c r="W186" s="30">
        <f t="shared" si="12"/>
        <v>4.2713999999999999</v>
      </c>
      <c r="X186" s="79">
        <f t="shared" si="9"/>
        <v>28.0014</v>
      </c>
      <c r="Y186" s="44"/>
    </row>
    <row r="187" spans="1:25" ht="31.2">
      <c r="A187" s="73">
        <v>44606</v>
      </c>
      <c r="B187" s="30" t="s">
        <v>362</v>
      </c>
      <c r="C187" s="69" t="s">
        <v>21</v>
      </c>
      <c r="D187" s="70" t="s">
        <v>22</v>
      </c>
      <c r="E187" s="30">
        <v>2</v>
      </c>
      <c r="F187" s="30" t="s">
        <v>24</v>
      </c>
      <c r="G187" s="30">
        <v>0.5</v>
      </c>
      <c r="H187" s="30" t="s">
        <v>28</v>
      </c>
      <c r="I187" s="45" t="s">
        <v>82</v>
      </c>
      <c r="J187" s="71"/>
      <c r="K187" s="80"/>
      <c r="L187" s="73">
        <v>44606</v>
      </c>
      <c r="M187" s="30"/>
      <c r="N187" s="74" t="s">
        <v>154</v>
      </c>
      <c r="O187" s="30">
        <v>1</v>
      </c>
      <c r="P187" s="25"/>
      <c r="Q187" s="34" t="s">
        <v>27</v>
      </c>
      <c r="R187" s="75"/>
      <c r="S187" s="76"/>
      <c r="T187" s="77">
        <v>6.78</v>
      </c>
      <c r="U187" s="30">
        <f>(T187*E187)-R187</f>
        <v>13.56</v>
      </c>
      <c r="V187" s="30">
        <f t="shared" si="11"/>
        <v>13.56</v>
      </c>
      <c r="W187" s="30">
        <f t="shared" si="12"/>
        <v>2.4407999999999999</v>
      </c>
      <c r="X187" s="79">
        <f t="shared" si="9"/>
        <v>16.000800000000002</v>
      </c>
      <c r="Y187" s="44"/>
    </row>
    <row r="188" spans="1:25" ht="31.2">
      <c r="A188" s="73">
        <v>44606</v>
      </c>
      <c r="B188" s="30" t="s">
        <v>362</v>
      </c>
      <c r="C188" s="69" t="s">
        <v>21</v>
      </c>
      <c r="D188" s="70" t="s">
        <v>22</v>
      </c>
      <c r="E188" s="30">
        <v>1</v>
      </c>
      <c r="F188" s="30" t="s">
        <v>24</v>
      </c>
      <c r="G188" s="30">
        <v>1</v>
      </c>
      <c r="H188" s="30" t="s">
        <v>28</v>
      </c>
      <c r="I188" s="45" t="s">
        <v>48</v>
      </c>
      <c r="J188" s="71"/>
      <c r="K188" s="80"/>
      <c r="L188" s="73">
        <v>44606</v>
      </c>
      <c r="M188" s="30"/>
      <c r="N188" s="74" t="s">
        <v>154</v>
      </c>
      <c r="O188" s="30">
        <v>1</v>
      </c>
      <c r="P188" s="25"/>
      <c r="Q188" s="34" t="s">
        <v>27</v>
      </c>
      <c r="R188" s="75"/>
      <c r="S188" s="76"/>
      <c r="T188" s="77">
        <v>21.19</v>
      </c>
      <c r="U188" s="30">
        <f t="shared" ref="U188:U248" si="13">(T188*E188)-R188</f>
        <v>21.19</v>
      </c>
      <c r="V188" s="30">
        <f t="shared" si="11"/>
        <v>21.19</v>
      </c>
      <c r="W188" s="30">
        <f t="shared" si="12"/>
        <v>3.8142</v>
      </c>
      <c r="X188" s="79">
        <f t="shared" si="9"/>
        <v>25.004200000000001</v>
      </c>
      <c r="Y188" s="44"/>
    </row>
    <row r="189" spans="1:25" ht="31.2">
      <c r="A189" s="73">
        <v>44606</v>
      </c>
      <c r="B189" s="30" t="s">
        <v>362</v>
      </c>
      <c r="C189" s="69" t="s">
        <v>21</v>
      </c>
      <c r="D189" s="70" t="s">
        <v>22</v>
      </c>
      <c r="E189" s="30">
        <v>1</v>
      </c>
      <c r="F189" s="30" t="s">
        <v>24</v>
      </c>
      <c r="G189" s="30">
        <v>1</v>
      </c>
      <c r="H189" s="30" t="s">
        <v>28</v>
      </c>
      <c r="I189" s="45" t="s">
        <v>49</v>
      </c>
      <c r="J189" s="71"/>
      <c r="K189" s="72"/>
      <c r="L189" s="73">
        <v>44606</v>
      </c>
      <c r="M189" s="30"/>
      <c r="N189" s="74" t="s">
        <v>154</v>
      </c>
      <c r="O189" s="30">
        <v>1</v>
      </c>
      <c r="P189" s="25"/>
      <c r="Q189" s="34" t="s">
        <v>27</v>
      </c>
      <c r="R189" s="75"/>
      <c r="S189" s="76"/>
      <c r="T189" s="77">
        <v>21.19</v>
      </c>
      <c r="U189" s="30">
        <f t="shared" si="13"/>
        <v>21.19</v>
      </c>
      <c r="V189" s="30">
        <f t="shared" si="11"/>
        <v>21.19</v>
      </c>
      <c r="W189" s="30">
        <f t="shared" si="12"/>
        <v>3.8142</v>
      </c>
      <c r="X189" s="79">
        <f t="shared" si="9"/>
        <v>25.004200000000001</v>
      </c>
      <c r="Y189" s="44"/>
    </row>
    <row r="190" spans="1:25" ht="31.2">
      <c r="A190" s="73">
        <v>44606</v>
      </c>
      <c r="B190" s="30" t="s">
        <v>363</v>
      </c>
      <c r="C190" s="69" t="s">
        <v>21</v>
      </c>
      <c r="D190" s="70" t="s">
        <v>22</v>
      </c>
      <c r="E190" s="30">
        <v>1</v>
      </c>
      <c r="F190" s="30" t="s">
        <v>24</v>
      </c>
      <c r="G190" s="30">
        <v>1</v>
      </c>
      <c r="H190" s="30" t="s">
        <v>28</v>
      </c>
      <c r="I190" s="45" t="s">
        <v>82</v>
      </c>
      <c r="J190" s="71"/>
      <c r="K190" s="72"/>
      <c r="L190" s="73">
        <v>44606</v>
      </c>
      <c r="M190" s="30"/>
      <c r="N190" s="74" t="s">
        <v>155</v>
      </c>
      <c r="O190" s="30">
        <v>1</v>
      </c>
      <c r="P190" s="25"/>
      <c r="Q190" s="34" t="s">
        <v>27</v>
      </c>
      <c r="R190" s="75"/>
      <c r="S190" s="76"/>
      <c r="T190" s="77">
        <v>10.17</v>
      </c>
      <c r="U190" s="30">
        <f t="shared" si="13"/>
        <v>10.17</v>
      </c>
      <c r="V190" s="30">
        <f t="shared" si="11"/>
        <v>10.17</v>
      </c>
      <c r="W190" s="30">
        <f t="shared" si="12"/>
        <v>1.8306</v>
      </c>
      <c r="X190" s="79">
        <f t="shared" si="9"/>
        <v>12.0006</v>
      </c>
      <c r="Y190" s="44"/>
    </row>
    <row r="191" spans="1:25" ht="31.2">
      <c r="A191" s="73">
        <v>44606</v>
      </c>
      <c r="B191" s="30" t="s">
        <v>363</v>
      </c>
      <c r="C191" s="69" t="s">
        <v>21</v>
      </c>
      <c r="D191" s="70" t="s">
        <v>22</v>
      </c>
      <c r="E191" s="30">
        <v>1</v>
      </c>
      <c r="F191" s="30" t="s">
        <v>24</v>
      </c>
      <c r="G191" s="30">
        <v>1</v>
      </c>
      <c r="H191" s="30" t="s">
        <v>28</v>
      </c>
      <c r="I191" s="45" t="s">
        <v>117</v>
      </c>
      <c r="J191" s="71"/>
      <c r="K191" s="72"/>
      <c r="L191" s="73">
        <v>44606</v>
      </c>
      <c r="M191" s="30"/>
      <c r="N191" s="74" t="s">
        <v>155</v>
      </c>
      <c r="O191" s="30">
        <v>1</v>
      </c>
      <c r="P191" s="25"/>
      <c r="Q191" s="34" t="s">
        <v>27</v>
      </c>
      <c r="R191" s="75"/>
      <c r="S191" s="76"/>
      <c r="T191" s="77">
        <v>10.17</v>
      </c>
      <c r="U191" s="30">
        <f t="shared" si="13"/>
        <v>10.17</v>
      </c>
      <c r="V191" s="30">
        <f t="shared" si="11"/>
        <v>10.17</v>
      </c>
      <c r="W191" s="30">
        <f t="shared" si="12"/>
        <v>1.8306</v>
      </c>
      <c r="X191" s="79">
        <f t="shared" si="9"/>
        <v>12.0006</v>
      </c>
      <c r="Y191" s="44"/>
    </row>
    <row r="192" spans="1:25" ht="15.6">
      <c r="A192" s="73">
        <v>44606</v>
      </c>
      <c r="B192" s="30" t="s">
        <v>364</v>
      </c>
      <c r="C192" s="69" t="s">
        <v>21</v>
      </c>
      <c r="D192" s="70" t="s">
        <v>22</v>
      </c>
      <c r="E192" s="30">
        <v>1</v>
      </c>
      <c r="F192" s="30" t="s">
        <v>24</v>
      </c>
      <c r="G192" s="30">
        <v>4</v>
      </c>
      <c r="H192" s="30" t="s">
        <v>28</v>
      </c>
      <c r="I192" s="45" t="s">
        <v>35</v>
      </c>
      <c r="J192" s="71"/>
      <c r="K192" s="72"/>
      <c r="L192" s="73">
        <v>44606</v>
      </c>
      <c r="M192" s="30"/>
      <c r="N192" s="74" t="s">
        <v>156</v>
      </c>
      <c r="O192" s="30">
        <v>1</v>
      </c>
      <c r="P192" s="25"/>
      <c r="Q192" s="34" t="s">
        <v>27</v>
      </c>
      <c r="R192" s="75"/>
      <c r="S192" s="76"/>
      <c r="T192" s="77">
        <v>23.73</v>
      </c>
      <c r="U192" s="30">
        <f t="shared" si="13"/>
        <v>23.73</v>
      </c>
      <c r="V192" s="30">
        <f t="shared" si="11"/>
        <v>23.73</v>
      </c>
      <c r="W192" s="30">
        <f t="shared" si="12"/>
        <v>4.2713999999999999</v>
      </c>
      <c r="X192" s="79">
        <f t="shared" si="9"/>
        <v>28.0014</v>
      </c>
      <c r="Y192" s="44"/>
    </row>
    <row r="193" spans="1:25" ht="31.2">
      <c r="A193" s="73">
        <v>44606</v>
      </c>
      <c r="B193" s="30" t="s">
        <v>365</v>
      </c>
      <c r="C193" s="69" t="s">
        <v>21</v>
      </c>
      <c r="D193" s="70" t="s">
        <v>22</v>
      </c>
      <c r="E193" s="30">
        <v>1</v>
      </c>
      <c r="F193" s="30" t="s">
        <v>24</v>
      </c>
      <c r="G193" s="30">
        <v>0.5</v>
      </c>
      <c r="H193" s="30" t="s">
        <v>28</v>
      </c>
      <c r="I193" s="45" t="s">
        <v>117</v>
      </c>
      <c r="J193" s="71"/>
      <c r="K193" s="72"/>
      <c r="L193" s="73">
        <v>44606</v>
      </c>
      <c r="M193" s="30"/>
      <c r="N193" s="74" t="s">
        <v>157</v>
      </c>
      <c r="O193" s="30">
        <v>1</v>
      </c>
      <c r="P193" s="25"/>
      <c r="Q193" s="34" t="s">
        <v>27</v>
      </c>
      <c r="R193" s="75"/>
      <c r="S193" s="76"/>
      <c r="T193" s="77">
        <v>6.78</v>
      </c>
      <c r="U193" s="30">
        <f t="shared" si="13"/>
        <v>6.78</v>
      </c>
      <c r="V193" s="30">
        <f t="shared" si="11"/>
        <v>6.78</v>
      </c>
      <c r="W193" s="30">
        <f t="shared" si="12"/>
        <v>1.2203999999999999</v>
      </c>
      <c r="X193" s="79">
        <f t="shared" si="9"/>
        <v>8.0004000000000008</v>
      </c>
      <c r="Y193" s="44"/>
    </row>
    <row r="194" spans="1:25" ht="31.2">
      <c r="A194" s="73">
        <v>44606</v>
      </c>
      <c r="B194" s="30" t="s">
        <v>365</v>
      </c>
      <c r="C194" s="69" t="s">
        <v>21</v>
      </c>
      <c r="D194" s="70" t="s">
        <v>22</v>
      </c>
      <c r="E194" s="30">
        <v>1</v>
      </c>
      <c r="F194" s="30" t="s">
        <v>24</v>
      </c>
      <c r="G194" s="30">
        <v>1</v>
      </c>
      <c r="H194" s="30" t="s">
        <v>28</v>
      </c>
      <c r="I194" s="45" t="s">
        <v>82</v>
      </c>
      <c r="J194" s="71"/>
      <c r="K194" s="80"/>
      <c r="L194" s="73">
        <v>44606</v>
      </c>
      <c r="M194" s="30"/>
      <c r="N194" s="74" t="s">
        <v>157</v>
      </c>
      <c r="O194" s="30">
        <v>1</v>
      </c>
      <c r="P194" s="25"/>
      <c r="Q194" s="34" t="s">
        <v>27</v>
      </c>
      <c r="R194" s="75"/>
      <c r="S194" s="76"/>
      <c r="T194" s="77">
        <v>10.17</v>
      </c>
      <c r="U194" s="30">
        <f t="shared" si="13"/>
        <v>10.17</v>
      </c>
      <c r="V194" s="30">
        <f t="shared" si="11"/>
        <v>10.17</v>
      </c>
      <c r="W194" s="30">
        <f t="shared" si="12"/>
        <v>1.8306</v>
      </c>
      <c r="X194" s="79">
        <f t="shared" si="9"/>
        <v>12.0006</v>
      </c>
      <c r="Y194" s="44"/>
    </row>
    <row r="195" spans="1:25" ht="31.2">
      <c r="A195" s="73">
        <v>44607</v>
      </c>
      <c r="B195" s="30" t="s">
        <v>366</v>
      </c>
      <c r="C195" s="69" t="s">
        <v>21</v>
      </c>
      <c r="D195" s="70" t="s">
        <v>22</v>
      </c>
      <c r="E195" s="30">
        <v>1</v>
      </c>
      <c r="F195" s="30" t="s">
        <v>24</v>
      </c>
      <c r="G195" s="30">
        <v>0.5</v>
      </c>
      <c r="H195" s="30" t="s">
        <v>28</v>
      </c>
      <c r="I195" s="45" t="s">
        <v>82</v>
      </c>
      <c r="J195" s="71"/>
      <c r="K195" s="80"/>
      <c r="L195" s="73">
        <v>44607</v>
      </c>
      <c r="M195" s="30"/>
      <c r="N195" s="74" t="s">
        <v>158</v>
      </c>
      <c r="O195" s="30">
        <v>1</v>
      </c>
      <c r="P195" s="25"/>
      <c r="Q195" s="34" t="s">
        <v>27</v>
      </c>
      <c r="R195" s="75"/>
      <c r="S195" s="76"/>
      <c r="T195" s="77">
        <v>6.78</v>
      </c>
      <c r="U195" s="30">
        <f t="shared" si="13"/>
        <v>6.78</v>
      </c>
      <c r="V195" s="30">
        <f t="shared" si="11"/>
        <v>6.78</v>
      </c>
      <c r="W195" s="30">
        <f t="shared" si="12"/>
        <v>1.2203999999999999</v>
      </c>
      <c r="X195" s="79">
        <f t="shared" si="9"/>
        <v>8.0004000000000008</v>
      </c>
      <c r="Y195" s="44"/>
    </row>
    <row r="196" spans="1:25" ht="31.2">
      <c r="A196" s="73">
        <v>44607</v>
      </c>
      <c r="B196" s="30" t="s">
        <v>366</v>
      </c>
      <c r="C196" s="69" t="s">
        <v>21</v>
      </c>
      <c r="D196" s="70" t="s">
        <v>22</v>
      </c>
      <c r="E196" s="30">
        <v>1</v>
      </c>
      <c r="F196" s="30" t="s">
        <v>24</v>
      </c>
      <c r="G196" s="30">
        <v>0.5</v>
      </c>
      <c r="H196" s="30" t="s">
        <v>28</v>
      </c>
      <c r="I196" s="45" t="s">
        <v>52</v>
      </c>
      <c r="J196" s="71"/>
      <c r="K196" s="80"/>
      <c r="L196" s="73">
        <v>44607</v>
      </c>
      <c r="M196" s="30"/>
      <c r="N196" s="74" t="s">
        <v>158</v>
      </c>
      <c r="O196" s="30">
        <v>1</v>
      </c>
      <c r="P196" s="25"/>
      <c r="Q196" s="34" t="s">
        <v>27</v>
      </c>
      <c r="R196" s="75"/>
      <c r="S196" s="76"/>
      <c r="T196" s="77">
        <v>6.78</v>
      </c>
      <c r="U196" s="30">
        <f t="shared" si="13"/>
        <v>6.78</v>
      </c>
      <c r="V196" s="30">
        <f t="shared" si="11"/>
        <v>6.78</v>
      </c>
      <c r="W196" s="30">
        <f t="shared" si="12"/>
        <v>1.2203999999999999</v>
      </c>
      <c r="X196" s="79">
        <f t="shared" si="9"/>
        <v>8.0004000000000008</v>
      </c>
      <c r="Y196" s="44"/>
    </row>
    <row r="197" spans="1:25" ht="46.8">
      <c r="A197" s="73">
        <v>44607</v>
      </c>
      <c r="B197" s="30" t="s">
        <v>366</v>
      </c>
      <c r="C197" s="69" t="s">
        <v>21</v>
      </c>
      <c r="D197" s="70" t="s">
        <v>22</v>
      </c>
      <c r="E197" s="30">
        <v>1</v>
      </c>
      <c r="F197" s="30" t="s">
        <v>24</v>
      </c>
      <c r="G197" s="30">
        <v>1</v>
      </c>
      <c r="H197" s="30" t="s">
        <v>28</v>
      </c>
      <c r="I197" s="45" t="s">
        <v>142</v>
      </c>
      <c r="J197" s="71"/>
      <c r="K197" s="80"/>
      <c r="L197" s="73">
        <v>44607</v>
      </c>
      <c r="M197" s="30"/>
      <c r="N197" s="74" t="s">
        <v>158</v>
      </c>
      <c r="O197" s="30">
        <v>1</v>
      </c>
      <c r="P197" s="25"/>
      <c r="Q197" s="34" t="s">
        <v>27</v>
      </c>
      <c r="R197" s="75"/>
      <c r="S197" s="76"/>
      <c r="T197" s="77">
        <v>8.0500000000000007</v>
      </c>
      <c r="U197" s="30">
        <f t="shared" si="13"/>
        <v>8.0500000000000007</v>
      </c>
      <c r="V197" s="30">
        <f t="shared" si="11"/>
        <v>8.0500000000000007</v>
      </c>
      <c r="W197" s="30">
        <f t="shared" si="12"/>
        <v>1.4490000000000001</v>
      </c>
      <c r="X197" s="79">
        <f t="shared" si="9"/>
        <v>9.4990000000000006</v>
      </c>
      <c r="Y197" s="44"/>
    </row>
    <row r="198" spans="1:25" ht="31.2">
      <c r="A198" s="73">
        <v>44609</v>
      </c>
      <c r="B198" s="30" t="s">
        <v>367</v>
      </c>
      <c r="C198" s="69" t="s">
        <v>21</v>
      </c>
      <c r="D198" s="70" t="s">
        <v>22</v>
      </c>
      <c r="E198" s="30">
        <v>1</v>
      </c>
      <c r="F198" s="30" t="s">
        <v>24</v>
      </c>
      <c r="G198" s="30">
        <v>4</v>
      </c>
      <c r="H198" s="30" t="s">
        <v>28</v>
      </c>
      <c r="I198" s="45" t="s">
        <v>82</v>
      </c>
      <c r="J198" s="71"/>
      <c r="K198" s="72"/>
      <c r="L198" s="73">
        <v>44609</v>
      </c>
      <c r="M198" s="30"/>
      <c r="N198" s="74" t="s">
        <v>159</v>
      </c>
      <c r="O198" s="30">
        <v>1</v>
      </c>
      <c r="P198" s="81"/>
      <c r="Q198" s="34" t="s">
        <v>27</v>
      </c>
      <c r="R198" s="75"/>
      <c r="S198" s="76"/>
      <c r="T198" s="77">
        <v>38.14</v>
      </c>
      <c r="U198" s="30">
        <f t="shared" si="13"/>
        <v>38.14</v>
      </c>
      <c r="V198" s="30">
        <f t="shared" si="11"/>
        <v>38.14</v>
      </c>
      <c r="W198" s="30">
        <f t="shared" si="12"/>
        <v>6.8651999999999997</v>
      </c>
      <c r="X198" s="79">
        <f t="shared" ref="X198:X261" si="14">+W198+V198</f>
        <v>45.005200000000002</v>
      </c>
      <c r="Y198" s="44"/>
    </row>
    <row r="199" spans="1:25" ht="15.6">
      <c r="A199" s="73">
        <v>44609</v>
      </c>
      <c r="B199" s="30" t="s">
        <v>367</v>
      </c>
      <c r="C199" s="69" t="s">
        <v>21</v>
      </c>
      <c r="D199" s="70" t="s">
        <v>22</v>
      </c>
      <c r="E199" s="30">
        <v>1</v>
      </c>
      <c r="F199" s="30" t="s">
        <v>24</v>
      </c>
      <c r="G199" s="30">
        <v>4</v>
      </c>
      <c r="H199" s="30" t="s">
        <v>28</v>
      </c>
      <c r="I199" s="45" t="s">
        <v>35</v>
      </c>
      <c r="J199" s="71"/>
      <c r="K199" s="72"/>
      <c r="L199" s="73">
        <v>44609</v>
      </c>
      <c r="M199" s="30"/>
      <c r="N199" s="74" t="s">
        <v>159</v>
      </c>
      <c r="O199" s="30">
        <v>1</v>
      </c>
      <c r="P199" s="81"/>
      <c r="Q199" s="34" t="s">
        <v>27</v>
      </c>
      <c r="R199" s="75"/>
      <c r="S199" s="76"/>
      <c r="T199" s="77">
        <v>23.73</v>
      </c>
      <c r="U199" s="30">
        <f t="shared" si="13"/>
        <v>23.73</v>
      </c>
      <c r="V199" s="30">
        <f t="shared" si="11"/>
        <v>23.73</v>
      </c>
      <c r="W199" s="30">
        <f t="shared" si="12"/>
        <v>4.2713999999999999</v>
      </c>
      <c r="X199" s="79">
        <f t="shared" si="14"/>
        <v>28.0014</v>
      </c>
      <c r="Y199" s="44"/>
    </row>
    <row r="200" spans="1:25" ht="31.2">
      <c r="A200" s="73">
        <v>44609</v>
      </c>
      <c r="B200" s="30" t="s">
        <v>367</v>
      </c>
      <c r="C200" s="69" t="s">
        <v>21</v>
      </c>
      <c r="D200" s="70" t="s">
        <v>22</v>
      </c>
      <c r="E200" s="30">
        <v>1</v>
      </c>
      <c r="F200" s="30" t="s">
        <v>24</v>
      </c>
      <c r="G200" s="30">
        <v>4</v>
      </c>
      <c r="H200" s="30" t="s">
        <v>28</v>
      </c>
      <c r="I200" s="45" t="s">
        <v>40</v>
      </c>
      <c r="J200" s="71"/>
      <c r="K200" s="72"/>
      <c r="L200" s="73">
        <v>44609</v>
      </c>
      <c r="M200" s="30"/>
      <c r="N200" s="74" t="s">
        <v>159</v>
      </c>
      <c r="O200" s="30">
        <v>1</v>
      </c>
      <c r="P200" s="81"/>
      <c r="Q200" s="34" t="s">
        <v>27</v>
      </c>
      <c r="R200" s="75"/>
      <c r="S200" s="76"/>
      <c r="T200" s="77">
        <v>16.95</v>
      </c>
      <c r="U200" s="30">
        <f t="shared" si="13"/>
        <v>16.95</v>
      </c>
      <c r="V200" s="30">
        <f t="shared" si="11"/>
        <v>16.95</v>
      </c>
      <c r="W200" s="30">
        <f t="shared" si="12"/>
        <v>3.0509999999999997</v>
      </c>
      <c r="X200" s="79">
        <f t="shared" si="14"/>
        <v>20.000999999999998</v>
      </c>
      <c r="Y200" s="44"/>
    </row>
    <row r="201" spans="1:25" ht="31.2">
      <c r="A201" s="73">
        <v>44609</v>
      </c>
      <c r="B201" s="30" t="s">
        <v>301</v>
      </c>
      <c r="C201" s="69" t="s">
        <v>21</v>
      </c>
      <c r="D201" s="70" t="s">
        <v>22</v>
      </c>
      <c r="E201" s="30">
        <v>1</v>
      </c>
      <c r="F201" s="30" t="s">
        <v>24</v>
      </c>
      <c r="G201" s="30">
        <v>4</v>
      </c>
      <c r="H201" s="30" t="s">
        <v>28</v>
      </c>
      <c r="I201" s="45" t="s">
        <v>31</v>
      </c>
      <c r="J201" s="71"/>
      <c r="K201" s="80"/>
      <c r="L201" s="73">
        <v>44609</v>
      </c>
      <c r="M201" s="30"/>
      <c r="N201" s="74" t="s">
        <v>160</v>
      </c>
      <c r="O201" s="30">
        <v>1</v>
      </c>
      <c r="P201" s="81"/>
      <c r="Q201" s="34" t="s">
        <v>27</v>
      </c>
      <c r="R201" s="75"/>
      <c r="S201" s="76"/>
      <c r="T201" s="77">
        <v>21.19</v>
      </c>
      <c r="U201" s="30">
        <f t="shared" si="13"/>
        <v>21.19</v>
      </c>
      <c r="V201" s="30">
        <f t="shared" si="11"/>
        <v>21.19</v>
      </c>
      <c r="W201" s="30">
        <f t="shared" si="12"/>
        <v>3.8142</v>
      </c>
      <c r="X201" s="79">
        <f t="shared" si="14"/>
        <v>25.004200000000001</v>
      </c>
      <c r="Y201" s="44"/>
    </row>
    <row r="202" spans="1:25" ht="93.6">
      <c r="A202" s="73">
        <v>44610</v>
      </c>
      <c r="B202" s="30" t="s">
        <v>368</v>
      </c>
      <c r="C202" s="69" t="s">
        <v>21</v>
      </c>
      <c r="D202" s="70" t="s">
        <v>22</v>
      </c>
      <c r="E202" s="30">
        <v>1</v>
      </c>
      <c r="F202" s="30" t="s">
        <v>24</v>
      </c>
      <c r="G202" s="30">
        <v>1</v>
      </c>
      <c r="H202" s="30" t="s">
        <v>23</v>
      </c>
      <c r="I202" s="45" t="s">
        <v>25</v>
      </c>
      <c r="J202" s="71"/>
      <c r="K202" s="80"/>
      <c r="L202" s="73">
        <v>44610</v>
      </c>
      <c r="M202" s="30"/>
      <c r="N202" s="74" t="s">
        <v>161</v>
      </c>
      <c r="O202" s="30">
        <v>1</v>
      </c>
      <c r="P202" s="81"/>
      <c r="Q202" s="34" t="s">
        <v>27</v>
      </c>
      <c r="R202" s="75"/>
      <c r="S202" s="76"/>
      <c r="T202" s="77">
        <v>21.19</v>
      </c>
      <c r="U202" s="30">
        <f t="shared" si="13"/>
        <v>21.19</v>
      </c>
      <c r="V202" s="30">
        <f t="shared" si="11"/>
        <v>21.19</v>
      </c>
      <c r="W202" s="30">
        <f t="shared" si="12"/>
        <v>3.8142</v>
      </c>
      <c r="X202" s="79">
        <f t="shared" si="14"/>
        <v>25.004200000000001</v>
      </c>
      <c r="Y202" s="44"/>
    </row>
    <row r="203" spans="1:25" ht="93.6">
      <c r="A203" s="73">
        <v>44610</v>
      </c>
      <c r="B203" s="30" t="s">
        <v>368</v>
      </c>
      <c r="C203" s="69" t="s">
        <v>21</v>
      </c>
      <c r="D203" s="70" t="s">
        <v>22</v>
      </c>
      <c r="E203" s="30">
        <v>1</v>
      </c>
      <c r="F203" s="30" t="s">
        <v>24</v>
      </c>
      <c r="G203" s="30">
        <v>1</v>
      </c>
      <c r="H203" s="30" t="s">
        <v>24</v>
      </c>
      <c r="I203" s="45" t="s">
        <v>152</v>
      </c>
      <c r="J203" s="71"/>
      <c r="K203" s="72"/>
      <c r="L203" s="73">
        <v>44610</v>
      </c>
      <c r="M203" s="30"/>
      <c r="N203" s="74" t="s">
        <v>161</v>
      </c>
      <c r="O203" s="30">
        <v>1</v>
      </c>
      <c r="P203" s="81"/>
      <c r="Q203" s="34" t="s">
        <v>27</v>
      </c>
      <c r="R203" s="75"/>
      <c r="S203" s="76"/>
      <c r="T203" s="77">
        <v>3.39</v>
      </c>
      <c r="U203" s="30">
        <f t="shared" si="13"/>
        <v>3.39</v>
      </c>
      <c r="V203" s="30">
        <f t="shared" ref="V203:V266" si="15">+U203</f>
        <v>3.39</v>
      </c>
      <c r="W203" s="30">
        <f t="shared" ref="W203:W266" si="16">+V203*0.18</f>
        <v>0.61019999999999996</v>
      </c>
      <c r="X203" s="79">
        <f t="shared" si="14"/>
        <v>4.0002000000000004</v>
      </c>
      <c r="Y203" s="44"/>
    </row>
    <row r="204" spans="1:25" ht="46.8">
      <c r="A204" s="73">
        <v>44610</v>
      </c>
      <c r="B204" s="30" t="s">
        <v>368</v>
      </c>
      <c r="C204" s="69" t="s">
        <v>21</v>
      </c>
      <c r="D204" s="70" t="s">
        <v>22</v>
      </c>
      <c r="E204" s="30">
        <v>1</v>
      </c>
      <c r="F204" s="30" t="s">
        <v>24</v>
      </c>
      <c r="G204" s="30">
        <v>1</v>
      </c>
      <c r="H204" s="30" t="s">
        <v>28</v>
      </c>
      <c r="I204" s="45" t="s">
        <v>45</v>
      </c>
      <c r="J204" s="71"/>
      <c r="K204" s="72"/>
      <c r="L204" s="73">
        <v>44610</v>
      </c>
      <c r="M204" s="30"/>
      <c r="N204" s="74" t="s">
        <v>161</v>
      </c>
      <c r="O204" s="30">
        <v>1</v>
      </c>
      <c r="P204" s="81"/>
      <c r="Q204" s="34" t="s">
        <v>27</v>
      </c>
      <c r="R204" s="75"/>
      <c r="S204" s="76"/>
      <c r="T204" s="77">
        <v>10.17</v>
      </c>
      <c r="U204" s="30">
        <f t="shared" si="13"/>
        <v>10.17</v>
      </c>
      <c r="V204" s="30">
        <f t="shared" si="15"/>
        <v>10.17</v>
      </c>
      <c r="W204" s="30">
        <f t="shared" si="16"/>
        <v>1.8306</v>
      </c>
      <c r="X204" s="79">
        <f t="shared" si="14"/>
        <v>12.0006</v>
      </c>
      <c r="Y204" s="44"/>
    </row>
    <row r="205" spans="1:25" ht="31.2">
      <c r="A205" s="73">
        <v>44610</v>
      </c>
      <c r="B205" s="30" t="s">
        <v>368</v>
      </c>
      <c r="C205" s="69" t="s">
        <v>21</v>
      </c>
      <c r="D205" s="70" t="s">
        <v>22</v>
      </c>
      <c r="E205" s="30">
        <v>1</v>
      </c>
      <c r="F205" s="30" t="s">
        <v>24</v>
      </c>
      <c r="G205" s="30">
        <v>4</v>
      </c>
      <c r="H205" s="30" t="s">
        <v>28</v>
      </c>
      <c r="I205" s="45" t="s">
        <v>40</v>
      </c>
      <c r="J205" s="71"/>
      <c r="K205" s="72"/>
      <c r="L205" s="73">
        <v>44610</v>
      </c>
      <c r="M205" s="30"/>
      <c r="N205" s="74" t="s">
        <v>161</v>
      </c>
      <c r="O205" s="30">
        <v>1</v>
      </c>
      <c r="P205" s="81"/>
      <c r="Q205" s="34" t="s">
        <v>27</v>
      </c>
      <c r="R205" s="75"/>
      <c r="S205" s="76"/>
      <c r="T205" s="77">
        <v>16.95</v>
      </c>
      <c r="U205" s="30">
        <f t="shared" si="13"/>
        <v>16.95</v>
      </c>
      <c r="V205" s="30">
        <f t="shared" si="15"/>
        <v>16.95</v>
      </c>
      <c r="W205" s="30">
        <f t="shared" si="16"/>
        <v>3.0509999999999997</v>
      </c>
      <c r="X205" s="79">
        <f t="shared" si="14"/>
        <v>20.000999999999998</v>
      </c>
      <c r="Y205" s="44"/>
    </row>
    <row r="206" spans="1:25" ht="31.2">
      <c r="A206" s="73">
        <v>44610</v>
      </c>
      <c r="B206" s="30" t="s">
        <v>369</v>
      </c>
      <c r="C206" s="69" t="s">
        <v>21</v>
      </c>
      <c r="D206" s="70" t="s">
        <v>22</v>
      </c>
      <c r="E206" s="30">
        <v>1</v>
      </c>
      <c r="F206" s="30" t="s">
        <v>24</v>
      </c>
      <c r="G206" s="30">
        <v>4</v>
      </c>
      <c r="H206" s="30" t="s">
        <v>28</v>
      </c>
      <c r="I206" s="45" t="s">
        <v>98</v>
      </c>
      <c r="J206" s="71"/>
      <c r="K206" s="72"/>
      <c r="L206" s="73">
        <v>44610</v>
      </c>
      <c r="M206" s="30"/>
      <c r="N206" s="82" t="s">
        <v>162</v>
      </c>
      <c r="O206" s="30">
        <v>1</v>
      </c>
      <c r="P206" s="81"/>
      <c r="Q206" s="34" t="s">
        <v>27</v>
      </c>
      <c r="R206" s="75"/>
      <c r="S206" s="76"/>
      <c r="T206" s="77">
        <v>16.53</v>
      </c>
      <c r="U206" s="30">
        <f t="shared" si="13"/>
        <v>16.53</v>
      </c>
      <c r="V206" s="30">
        <f t="shared" si="15"/>
        <v>16.53</v>
      </c>
      <c r="W206" s="30">
        <f t="shared" si="16"/>
        <v>2.9754</v>
      </c>
      <c r="X206" s="79">
        <f t="shared" si="14"/>
        <v>19.505400000000002</v>
      </c>
      <c r="Y206" s="44"/>
    </row>
    <row r="207" spans="1:25" ht="31.2">
      <c r="A207" s="73">
        <v>44610</v>
      </c>
      <c r="B207" s="30" t="s">
        <v>370</v>
      </c>
      <c r="C207" s="69" t="s">
        <v>21</v>
      </c>
      <c r="D207" s="70" t="s">
        <v>22</v>
      </c>
      <c r="E207" s="30">
        <v>1</v>
      </c>
      <c r="F207" s="30" t="s">
        <v>24</v>
      </c>
      <c r="G207" s="30">
        <v>1</v>
      </c>
      <c r="H207" s="30" t="s">
        <v>28</v>
      </c>
      <c r="I207" s="45" t="s">
        <v>49</v>
      </c>
      <c r="J207" s="71"/>
      <c r="K207" s="72"/>
      <c r="L207" s="73">
        <v>44610</v>
      </c>
      <c r="M207" s="30"/>
      <c r="N207" s="82" t="s">
        <v>163</v>
      </c>
      <c r="O207" s="30">
        <v>1</v>
      </c>
      <c r="P207" s="81"/>
      <c r="Q207" s="34" t="s">
        <v>27</v>
      </c>
      <c r="R207" s="75"/>
      <c r="S207" s="76"/>
      <c r="T207" s="77">
        <v>21.19</v>
      </c>
      <c r="U207" s="30">
        <f t="shared" si="13"/>
        <v>21.19</v>
      </c>
      <c r="V207" s="30">
        <f t="shared" si="15"/>
        <v>21.19</v>
      </c>
      <c r="W207" s="30">
        <f t="shared" si="16"/>
        <v>3.8142</v>
      </c>
      <c r="X207" s="79">
        <f t="shared" si="14"/>
        <v>25.004200000000001</v>
      </c>
      <c r="Y207" s="44"/>
    </row>
    <row r="208" spans="1:25" ht="31.2">
      <c r="A208" s="73">
        <v>44610</v>
      </c>
      <c r="B208" s="30" t="s">
        <v>371</v>
      </c>
      <c r="C208" s="69" t="s">
        <v>21</v>
      </c>
      <c r="D208" s="70" t="s">
        <v>22</v>
      </c>
      <c r="E208" s="30">
        <v>1</v>
      </c>
      <c r="F208" s="30" t="s">
        <v>24</v>
      </c>
      <c r="G208" s="30">
        <v>0.5</v>
      </c>
      <c r="H208" s="30" t="s">
        <v>28</v>
      </c>
      <c r="I208" s="45" t="s">
        <v>71</v>
      </c>
      <c r="J208" s="71"/>
      <c r="K208" s="72"/>
      <c r="L208" s="73">
        <v>44610</v>
      </c>
      <c r="M208" s="30"/>
      <c r="N208" s="74" t="s">
        <v>164</v>
      </c>
      <c r="O208" s="30">
        <v>1</v>
      </c>
      <c r="P208" s="81"/>
      <c r="Q208" s="34" t="s">
        <v>27</v>
      </c>
      <c r="R208" s="75"/>
      <c r="S208" s="76"/>
      <c r="T208" s="77">
        <v>6.78</v>
      </c>
      <c r="U208" s="30">
        <f t="shared" si="13"/>
        <v>6.78</v>
      </c>
      <c r="V208" s="30">
        <f t="shared" si="15"/>
        <v>6.78</v>
      </c>
      <c r="W208" s="30">
        <f t="shared" si="16"/>
        <v>1.2203999999999999</v>
      </c>
      <c r="X208" s="79">
        <f t="shared" si="14"/>
        <v>8.0004000000000008</v>
      </c>
      <c r="Y208" s="44"/>
    </row>
    <row r="209" spans="1:25" ht="15.6">
      <c r="A209" s="73">
        <v>44610</v>
      </c>
      <c r="B209" s="30" t="s">
        <v>371</v>
      </c>
      <c r="C209" s="69" t="s">
        <v>21</v>
      </c>
      <c r="D209" s="70" t="s">
        <v>22</v>
      </c>
      <c r="E209" s="30">
        <v>1</v>
      </c>
      <c r="F209" s="30" t="s">
        <v>24</v>
      </c>
      <c r="G209" s="30">
        <v>1</v>
      </c>
      <c r="H209" s="30" t="s">
        <v>28</v>
      </c>
      <c r="I209" s="45" t="s">
        <v>35</v>
      </c>
      <c r="J209" s="71"/>
      <c r="K209" s="72"/>
      <c r="L209" s="73">
        <v>44610</v>
      </c>
      <c r="M209" s="30"/>
      <c r="N209" s="74" t="s">
        <v>164</v>
      </c>
      <c r="O209" s="30">
        <v>1</v>
      </c>
      <c r="P209" s="83"/>
      <c r="Q209" s="34" t="s">
        <v>27</v>
      </c>
      <c r="R209" s="75"/>
      <c r="S209" s="76"/>
      <c r="T209" s="77">
        <v>8.0500000000000007</v>
      </c>
      <c r="U209" s="30">
        <f t="shared" si="13"/>
        <v>8.0500000000000007</v>
      </c>
      <c r="V209" s="30">
        <f t="shared" si="15"/>
        <v>8.0500000000000007</v>
      </c>
      <c r="W209" s="30">
        <f t="shared" si="16"/>
        <v>1.4490000000000001</v>
      </c>
      <c r="X209" s="79">
        <f t="shared" si="14"/>
        <v>9.4990000000000006</v>
      </c>
      <c r="Y209" s="44"/>
    </row>
    <row r="210" spans="1:25" ht="15.6">
      <c r="A210" s="73">
        <v>44610</v>
      </c>
      <c r="B210" s="30" t="s">
        <v>372</v>
      </c>
      <c r="C210" s="69" t="s">
        <v>21</v>
      </c>
      <c r="D210" s="70" t="s">
        <v>22</v>
      </c>
      <c r="E210" s="30">
        <v>1</v>
      </c>
      <c r="F210" s="30" t="s">
        <v>24</v>
      </c>
      <c r="G210" s="30">
        <v>4</v>
      </c>
      <c r="H210" s="30" t="s">
        <v>28</v>
      </c>
      <c r="I210" s="45" t="s">
        <v>35</v>
      </c>
      <c r="J210" s="71"/>
      <c r="K210" s="72"/>
      <c r="L210" s="73">
        <v>44610</v>
      </c>
      <c r="M210" s="30"/>
      <c r="N210" s="74" t="s">
        <v>165</v>
      </c>
      <c r="O210" s="30">
        <v>1</v>
      </c>
      <c r="P210" s="83"/>
      <c r="Q210" s="34" t="s">
        <v>27</v>
      </c>
      <c r="R210" s="75"/>
      <c r="S210" s="76"/>
      <c r="T210" s="77">
        <v>23.73</v>
      </c>
      <c r="U210" s="30">
        <f t="shared" si="13"/>
        <v>23.73</v>
      </c>
      <c r="V210" s="30">
        <f t="shared" si="15"/>
        <v>23.73</v>
      </c>
      <c r="W210" s="30">
        <f t="shared" si="16"/>
        <v>4.2713999999999999</v>
      </c>
      <c r="X210" s="79">
        <f t="shared" si="14"/>
        <v>28.0014</v>
      </c>
      <c r="Y210" s="44"/>
    </row>
    <row r="211" spans="1:25" ht="109.2">
      <c r="A211" s="73">
        <v>44613</v>
      </c>
      <c r="B211" s="30" t="s">
        <v>299</v>
      </c>
      <c r="C211" s="69" t="s">
        <v>21</v>
      </c>
      <c r="D211" s="70" t="s">
        <v>22</v>
      </c>
      <c r="E211" s="30">
        <v>1</v>
      </c>
      <c r="F211" s="30" t="s">
        <v>24</v>
      </c>
      <c r="G211" s="30">
        <v>1</v>
      </c>
      <c r="H211" s="30" t="s">
        <v>108</v>
      </c>
      <c r="I211" s="45" t="s">
        <v>74</v>
      </c>
      <c r="J211" s="71"/>
      <c r="K211" s="72"/>
      <c r="L211" s="73">
        <v>44613</v>
      </c>
      <c r="M211" s="30"/>
      <c r="N211" s="74" t="s">
        <v>166</v>
      </c>
      <c r="O211" s="30">
        <v>1</v>
      </c>
      <c r="P211" s="84"/>
      <c r="Q211" s="34" t="s">
        <v>27</v>
      </c>
      <c r="R211" s="75"/>
      <c r="S211" s="76"/>
      <c r="T211" s="77">
        <v>25.42</v>
      </c>
      <c r="U211" s="30">
        <f t="shared" si="13"/>
        <v>25.42</v>
      </c>
      <c r="V211" s="30">
        <f t="shared" si="15"/>
        <v>25.42</v>
      </c>
      <c r="W211" s="30">
        <f t="shared" si="16"/>
        <v>4.5756000000000006</v>
      </c>
      <c r="X211" s="79">
        <f t="shared" si="14"/>
        <v>29.995600000000003</v>
      </c>
      <c r="Y211" s="44"/>
    </row>
    <row r="212" spans="1:25" ht="31.2">
      <c r="A212" s="73">
        <v>44613</v>
      </c>
      <c r="B212" s="30" t="s">
        <v>299</v>
      </c>
      <c r="C212" s="69" t="s">
        <v>21</v>
      </c>
      <c r="D212" s="70" t="s">
        <v>22</v>
      </c>
      <c r="E212" s="30">
        <v>1</v>
      </c>
      <c r="F212" s="30" t="s">
        <v>24</v>
      </c>
      <c r="G212" s="30">
        <v>4</v>
      </c>
      <c r="H212" s="30" t="s">
        <v>28</v>
      </c>
      <c r="I212" s="45" t="s">
        <v>57</v>
      </c>
      <c r="J212" s="71"/>
      <c r="K212" s="72"/>
      <c r="L212" s="73">
        <v>44613</v>
      </c>
      <c r="M212" s="30"/>
      <c r="N212" s="74" t="s">
        <v>166</v>
      </c>
      <c r="O212" s="30">
        <v>1</v>
      </c>
      <c r="P212" s="84"/>
      <c r="Q212" s="34" t="s">
        <v>27</v>
      </c>
      <c r="R212" s="75"/>
      <c r="S212" s="76"/>
      <c r="T212" s="77">
        <v>16.95</v>
      </c>
      <c r="U212" s="30">
        <f t="shared" si="13"/>
        <v>16.95</v>
      </c>
      <c r="V212" s="30">
        <f t="shared" si="15"/>
        <v>16.95</v>
      </c>
      <c r="W212" s="30">
        <f t="shared" si="16"/>
        <v>3.0509999999999997</v>
      </c>
      <c r="X212" s="79">
        <f t="shared" si="14"/>
        <v>20.000999999999998</v>
      </c>
      <c r="Y212" s="44"/>
    </row>
    <row r="213" spans="1:25" ht="46.8">
      <c r="A213" s="73">
        <v>44613</v>
      </c>
      <c r="B213" s="30" t="s">
        <v>299</v>
      </c>
      <c r="C213" s="69" t="s">
        <v>21</v>
      </c>
      <c r="D213" s="70" t="s">
        <v>22</v>
      </c>
      <c r="E213" s="30">
        <v>1</v>
      </c>
      <c r="F213" s="30" t="s">
        <v>24</v>
      </c>
      <c r="G213" s="30">
        <v>4</v>
      </c>
      <c r="H213" s="30" t="s">
        <v>28</v>
      </c>
      <c r="I213" s="45" t="s">
        <v>73</v>
      </c>
      <c r="J213" s="71"/>
      <c r="K213" s="72"/>
      <c r="L213" s="73">
        <v>44613</v>
      </c>
      <c r="M213" s="30"/>
      <c r="N213" s="74" t="s">
        <v>166</v>
      </c>
      <c r="O213" s="30">
        <v>1</v>
      </c>
      <c r="P213" s="84"/>
      <c r="Q213" s="34" t="s">
        <v>27</v>
      </c>
      <c r="R213" s="75"/>
      <c r="S213" s="76"/>
      <c r="T213" s="77">
        <v>31.36</v>
      </c>
      <c r="U213" s="30">
        <f t="shared" si="13"/>
        <v>31.36</v>
      </c>
      <c r="V213" s="30">
        <f t="shared" si="15"/>
        <v>31.36</v>
      </c>
      <c r="W213" s="30">
        <f t="shared" si="16"/>
        <v>5.6448</v>
      </c>
      <c r="X213" s="79">
        <f t="shared" si="14"/>
        <v>37.004800000000003</v>
      </c>
      <c r="Y213" s="44"/>
    </row>
    <row r="214" spans="1:25" ht="62.4">
      <c r="A214" s="73">
        <v>44613</v>
      </c>
      <c r="B214" s="30" t="s">
        <v>299</v>
      </c>
      <c r="C214" s="69" t="s">
        <v>21</v>
      </c>
      <c r="D214" s="70" t="s">
        <v>22</v>
      </c>
      <c r="E214" s="30">
        <v>1</v>
      </c>
      <c r="F214" s="30" t="s">
        <v>24</v>
      </c>
      <c r="G214" s="30">
        <v>4</v>
      </c>
      <c r="H214" s="30" t="s">
        <v>28</v>
      </c>
      <c r="I214" s="45" t="s">
        <v>85</v>
      </c>
      <c r="J214" s="71"/>
      <c r="K214" s="72"/>
      <c r="L214" s="73">
        <v>44613</v>
      </c>
      <c r="M214" s="30"/>
      <c r="N214" s="74" t="s">
        <v>166</v>
      </c>
      <c r="O214" s="30">
        <v>1</v>
      </c>
      <c r="P214" s="84"/>
      <c r="Q214" s="34" t="s">
        <v>27</v>
      </c>
      <c r="R214" s="75"/>
      <c r="S214" s="76"/>
      <c r="T214" s="77">
        <v>15.25</v>
      </c>
      <c r="U214" s="30">
        <f t="shared" si="13"/>
        <v>15.25</v>
      </c>
      <c r="V214" s="30">
        <f t="shared" si="15"/>
        <v>15.25</v>
      </c>
      <c r="W214" s="30">
        <f t="shared" si="16"/>
        <v>2.7450000000000001</v>
      </c>
      <c r="X214" s="79">
        <f t="shared" si="14"/>
        <v>17.995000000000001</v>
      </c>
      <c r="Y214" s="44"/>
    </row>
    <row r="215" spans="1:25" ht="31.2">
      <c r="A215" s="73">
        <v>44613</v>
      </c>
      <c r="B215" s="30" t="s">
        <v>299</v>
      </c>
      <c r="C215" s="69" t="s">
        <v>21</v>
      </c>
      <c r="D215" s="70" t="s">
        <v>22</v>
      </c>
      <c r="E215" s="30">
        <v>1</v>
      </c>
      <c r="F215" s="30" t="s">
        <v>24</v>
      </c>
      <c r="G215" s="30">
        <v>4</v>
      </c>
      <c r="H215" s="30" t="s">
        <v>28</v>
      </c>
      <c r="I215" s="45" t="s">
        <v>52</v>
      </c>
      <c r="J215" s="71"/>
      <c r="K215" s="72"/>
      <c r="L215" s="73">
        <v>44613</v>
      </c>
      <c r="M215" s="30"/>
      <c r="N215" s="74" t="s">
        <v>166</v>
      </c>
      <c r="O215" s="30">
        <v>1</v>
      </c>
      <c r="P215" s="85"/>
      <c r="Q215" s="34" t="s">
        <v>27</v>
      </c>
      <c r="R215" s="75"/>
      <c r="S215" s="76"/>
      <c r="T215" s="77">
        <v>16.95</v>
      </c>
      <c r="U215" s="30">
        <f t="shared" si="13"/>
        <v>16.95</v>
      </c>
      <c r="V215" s="30">
        <f t="shared" si="15"/>
        <v>16.95</v>
      </c>
      <c r="W215" s="30">
        <f t="shared" si="16"/>
        <v>3.0509999999999997</v>
      </c>
      <c r="X215" s="79">
        <f t="shared" si="14"/>
        <v>20.000999999999998</v>
      </c>
      <c r="Y215" s="44"/>
    </row>
    <row r="216" spans="1:25" ht="46.8">
      <c r="A216" s="73">
        <v>44613</v>
      </c>
      <c r="B216" s="30" t="s">
        <v>373</v>
      </c>
      <c r="C216" s="69" t="s">
        <v>21</v>
      </c>
      <c r="D216" s="70" t="s">
        <v>22</v>
      </c>
      <c r="E216" s="30">
        <v>1</v>
      </c>
      <c r="F216" s="30" t="s">
        <v>24</v>
      </c>
      <c r="G216" s="30">
        <v>1</v>
      </c>
      <c r="H216" s="30" t="s">
        <v>32</v>
      </c>
      <c r="I216" s="45" t="s">
        <v>167</v>
      </c>
      <c r="J216" s="71"/>
      <c r="K216" s="72"/>
      <c r="L216" s="73">
        <v>44613</v>
      </c>
      <c r="M216" s="30"/>
      <c r="N216" s="74" t="s">
        <v>168</v>
      </c>
      <c r="O216" s="30">
        <v>1</v>
      </c>
      <c r="P216" s="84"/>
      <c r="Q216" s="34" t="s">
        <v>27</v>
      </c>
      <c r="R216" s="75"/>
      <c r="S216" s="76"/>
      <c r="T216" s="77">
        <v>1084.75</v>
      </c>
      <c r="U216" s="30">
        <f t="shared" si="13"/>
        <v>1084.75</v>
      </c>
      <c r="V216" s="30">
        <f t="shared" si="15"/>
        <v>1084.75</v>
      </c>
      <c r="W216" s="30">
        <f t="shared" si="16"/>
        <v>195.255</v>
      </c>
      <c r="X216" s="79">
        <f t="shared" si="14"/>
        <v>1280.0050000000001</v>
      </c>
      <c r="Y216" s="44"/>
    </row>
    <row r="217" spans="1:25" ht="31.2">
      <c r="A217" s="73">
        <v>44613</v>
      </c>
      <c r="B217" s="30" t="s">
        <v>374</v>
      </c>
      <c r="C217" s="69" t="s">
        <v>21</v>
      </c>
      <c r="D217" s="70" t="s">
        <v>22</v>
      </c>
      <c r="E217" s="30">
        <v>1</v>
      </c>
      <c r="F217" s="30" t="s">
        <v>24</v>
      </c>
      <c r="G217" s="30">
        <v>1</v>
      </c>
      <c r="H217" s="30" t="s">
        <v>28</v>
      </c>
      <c r="I217" s="45" t="s">
        <v>31</v>
      </c>
      <c r="J217" s="71"/>
      <c r="K217" s="72"/>
      <c r="L217" s="73">
        <v>44613</v>
      </c>
      <c r="M217" s="30"/>
      <c r="N217" s="74" t="s">
        <v>169</v>
      </c>
      <c r="O217" s="30">
        <v>1</v>
      </c>
      <c r="P217" s="84"/>
      <c r="Q217" s="34" t="s">
        <v>27</v>
      </c>
      <c r="R217" s="75"/>
      <c r="S217" s="76"/>
      <c r="T217" s="77">
        <v>8.0500000000000007</v>
      </c>
      <c r="U217" s="30">
        <f t="shared" si="13"/>
        <v>8.0500000000000007</v>
      </c>
      <c r="V217" s="30">
        <f t="shared" si="15"/>
        <v>8.0500000000000007</v>
      </c>
      <c r="W217" s="30">
        <f t="shared" si="16"/>
        <v>1.4490000000000001</v>
      </c>
      <c r="X217" s="79">
        <f t="shared" si="14"/>
        <v>9.4990000000000006</v>
      </c>
      <c r="Y217" s="44"/>
    </row>
    <row r="218" spans="1:25" ht="46.8">
      <c r="A218" s="73">
        <v>44614</v>
      </c>
      <c r="B218" s="30" t="s">
        <v>375</v>
      </c>
      <c r="C218" s="69" t="s">
        <v>21</v>
      </c>
      <c r="D218" s="70" t="s">
        <v>22</v>
      </c>
      <c r="E218" s="30">
        <v>1</v>
      </c>
      <c r="F218" s="30" t="s">
        <v>24</v>
      </c>
      <c r="G218" s="30">
        <v>4</v>
      </c>
      <c r="H218" s="30" t="s">
        <v>28</v>
      </c>
      <c r="I218" s="45" t="s">
        <v>170</v>
      </c>
      <c r="J218" s="71"/>
      <c r="K218" s="72"/>
      <c r="L218" s="73">
        <v>44614</v>
      </c>
      <c r="M218" s="30"/>
      <c r="N218" s="74" t="s">
        <v>171</v>
      </c>
      <c r="O218" s="30">
        <v>1</v>
      </c>
      <c r="P218" s="81"/>
      <c r="Q218" s="34" t="s">
        <v>27</v>
      </c>
      <c r="R218" s="75"/>
      <c r="S218" s="76"/>
      <c r="T218" s="77">
        <v>16.53</v>
      </c>
      <c r="U218" s="30">
        <f t="shared" si="13"/>
        <v>16.53</v>
      </c>
      <c r="V218" s="30">
        <f t="shared" si="15"/>
        <v>16.53</v>
      </c>
      <c r="W218" s="30">
        <f t="shared" si="16"/>
        <v>2.9754</v>
      </c>
      <c r="X218" s="79">
        <f t="shared" si="14"/>
        <v>19.505400000000002</v>
      </c>
      <c r="Y218" s="44"/>
    </row>
    <row r="219" spans="1:25" ht="31.2">
      <c r="A219" s="73">
        <v>44614</v>
      </c>
      <c r="B219" s="30" t="s">
        <v>376</v>
      </c>
      <c r="C219" s="69" t="s">
        <v>21</v>
      </c>
      <c r="D219" s="70" t="s">
        <v>22</v>
      </c>
      <c r="E219" s="30">
        <v>1</v>
      </c>
      <c r="F219" s="30" t="s">
        <v>24</v>
      </c>
      <c r="G219" s="30">
        <v>1</v>
      </c>
      <c r="H219" s="30" t="s">
        <v>28</v>
      </c>
      <c r="I219" s="45" t="s">
        <v>88</v>
      </c>
      <c r="J219" s="71"/>
      <c r="K219" s="72"/>
      <c r="L219" s="73">
        <v>44614</v>
      </c>
      <c r="M219" s="30"/>
      <c r="N219" s="74" t="s">
        <v>172</v>
      </c>
      <c r="O219" s="30">
        <v>1</v>
      </c>
      <c r="P219" s="81"/>
      <c r="Q219" s="34" t="s">
        <v>27</v>
      </c>
      <c r="R219" s="75"/>
      <c r="S219" s="76"/>
      <c r="T219" s="77">
        <v>15.25</v>
      </c>
      <c r="U219" s="30">
        <f t="shared" si="13"/>
        <v>15.25</v>
      </c>
      <c r="V219" s="30">
        <f t="shared" si="15"/>
        <v>15.25</v>
      </c>
      <c r="W219" s="30">
        <f t="shared" si="16"/>
        <v>2.7450000000000001</v>
      </c>
      <c r="X219" s="79">
        <f t="shared" si="14"/>
        <v>17.995000000000001</v>
      </c>
      <c r="Y219" s="44"/>
    </row>
    <row r="220" spans="1:25" ht="31.2">
      <c r="A220" s="73">
        <v>44614</v>
      </c>
      <c r="B220" s="30" t="s">
        <v>377</v>
      </c>
      <c r="C220" s="69" t="s">
        <v>21</v>
      </c>
      <c r="D220" s="70" t="s">
        <v>22</v>
      </c>
      <c r="E220" s="30">
        <v>1</v>
      </c>
      <c r="F220" s="30" t="s">
        <v>24</v>
      </c>
      <c r="G220" s="30">
        <v>1</v>
      </c>
      <c r="H220" s="30" t="s">
        <v>28</v>
      </c>
      <c r="I220" s="45" t="s">
        <v>82</v>
      </c>
      <c r="J220" s="71"/>
      <c r="K220" s="72"/>
      <c r="L220" s="73">
        <v>44614</v>
      </c>
      <c r="M220" s="30"/>
      <c r="N220" s="74" t="s">
        <v>173</v>
      </c>
      <c r="O220" s="30">
        <v>1</v>
      </c>
      <c r="P220" s="81"/>
      <c r="Q220" s="34" t="s">
        <v>27</v>
      </c>
      <c r="R220" s="75"/>
      <c r="S220" s="76"/>
      <c r="T220" s="77">
        <v>10.17</v>
      </c>
      <c r="U220" s="30">
        <f t="shared" si="13"/>
        <v>10.17</v>
      </c>
      <c r="V220" s="30">
        <f t="shared" si="15"/>
        <v>10.17</v>
      </c>
      <c r="W220" s="30">
        <f t="shared" si="16"/>
        <v>1.8306</v>
      </c>
      <c r="X220" s="79">
        <f t="shared" si="14"/>
        <v>12.0006</v>
      </c>
      <c r="Y220" s="44"/>
    </row>
    <row r="221" spans="1:25" ht="31.2">
      <c r="A221" s="73">
        <v>44614</v>
      </c>
      <c r="B221" s="30" t="s">
        <v>378</v>
      </c>
      <c r="C221" s="69" t="s">
        <v>21</v>
      </c>
      <c r="D221" s="70" t="s">
        <v>22</v>
      </c>
      <c r="E221" s="30">
        <v>1</v>
      </c>
      <c r="F221" s="30" t="s">
        <v>24</v>
      </c>
      <c r="G221" s="30">
        <v>1</v>
      </c>
      <c r="H221" s="30" t="s">
        <v>28</v>
      </c>
      <c r="I221" s="45" t="s">
        <v>82</v>
      </c>
      <c r="J221" s="71"/>
      <c r="K221" s="72"/>
      <c r="L221" s="73">
        <v>44614</v>
      </c>
      <c r="M221" s="30"/>
      <c r="N221" s="74" t="s">
        <v>174</v>
      </c>
      <c r="O221" s="30">
        <v>1</v>
      </c>
      <c r="P221" s="81"/>
      <c r="Q221" s="86" t="s">
        <v>27</v>
      </c>
      <c r="R221" s="75"/>
      <c r="S221" s="76"/>
      <c r="T221" s="77">
        <v>10.17</v>
      </c>
      <c r="U221" s="30">
        <f t="shared" si="13"/>
        <v>10.17</v>
      </c>
      <c r="V221" s="30">
        <f t="shared" si="15"/>
        <v>10.17</v>
      </c>
      <c r="W221" s="30">
        <f t="shared" si="16"/>
        <v>1.8306</v>
      </c>
      <c r="X221" s="79">
        <f t="shared" si="14"/>
        <v>12.0006</v>
      </c>
      <c r="Y221" s="44"/>
    </row>
    <row r="222" spans="1:25" ht="31.2">
      <c r="A222" s="73">
        <v>44614</v>
      </c>
      <c r="B222" s="30" t="s">
        <v>379</v>
      </c>
      <c r="C222" s="69" t="s">
        <v>21</v>
      </c>
      <c r="D222" s="70" t="s">
        <v>22</v>
      </c>
      <c r="E222" s="30">
        <v>1</v>
      </c>
      <c r="F222" s="30" t="s">
        <v>24</v>
      </c>
      <c r="G222" s="30">
        <v>0.5</v>
      </c>
      <c r="H222" s="30" t="s">
        <v>28</v>
      </c>
      <c r="I222" s="45" t="s">
        <v>71</v>
      </c>
      <c r="J222" s="71"/>
      <c r="K222" s="72"/>
      <c r="L222" s="73">
        <v>44614</v>
      </c>
      <c r="M222" s="30"/>
      <c r="N222" s="74" t="s">
        <v>175</v>
      </c>
      <c r="O222" s="30">
        <v>1</v>
      </c>
      <c r="P222" s="81"/>
      <c r="Q222" s="34" t="s">
        <v>27</v>
      </c>
      <c r="R222" s="75"/>
      <c r="S222" s="76"/>
      <c r="T222" s="77">
        <v>6.78</v>
      </c>
      <c r="U222" s="30">
        <f t="shared" si="13"/>
        <v>6.78</v>
      </c>
      <c r="V222" s="30">
        <f t="shared" si="15"/>
        <v>6.78</v>
      </c>
      <c r="W222" s="30">
        <f t="shared" si="16"/>
        <v>1.2203999999999999</v>
      </c>
      <c r="X222" s="79">
        <f t="shared" si="14"/>
        <v>8.0004000000000008</v>
      </c>
      <c r="Y222" s="44"/>
    </row>
    <row r="223" spans="1:25" ht="31.2">
      <c r="A223" s="73">
        <v>44614</v>
      </c>
      <c r="B223" s="30" t="s">
        <v>379</v>
      </c>
      <c r="C223" s="69" t="s">
        <v>21</v>
      </c>
      <c r="D223" s="70" t="s">
        <v>22</v>
      </c>
      <c r="E223" s="30">
        <v>1</v>
      </c>
      <c r="F223" s="30" t="s">
        <v>24</v>
      </c>
      <c r="G223" s="30">
        <v>1</v>
      </c>
      <c r="H223" s="30" t="s">
        <v>28</v>
      </c>
      <c r="I223" s="45" t="s">
        <v>49</v>
      </c>
      <c r="J223" s="71"/>
      <c r="K223" s="72"/>
      <c r="L223" s="73">
        <v>44614</v>
      </c>
      <c r="M223" s="30"/>
      <c r="N223" s="74" t="s">
        <v>175</v>
      </c>
      <c r="O223" s="30">
        <v>1</v>
      </c>
      <c r="P223" s="81"/>
      <c r="Q223" s="34" t="s">
        <v>27</v>
      </c>
      <c r="R223" s="75"/>
      <c r="S223" s="76"/>
      <c r="T223" s="77">
        <v>21.19</v>
      </c>
      <c r="U223" s="30">
        <f t="shared" si="13"/>
        <v>21.19</v>
      </c>
      <c r="V223" s="30">
        <f t="shared" si="15"/>
        <v>21.19</v>
      </c>
      <c r="W223" s="30">
        <f t="shared" si="16"/>
        <v>3.8142</v>
      </c>
      <c r="X223" s="79">
        <f t="shared" si="14"/>
        <v>25.004200000000001</v>
      </c>
      <c r="Y223" s="44"/>
    </row>
    <row r="224" spans="1:25" ht="46.8">
      <c r="A224" s="73">
        <v>44616</v>
      </c>
      <c r="B224" s="30" t="s">
        <v>380</v>
      </c>
      <c r="C224" s="69" t="s">
        <v>21</v>
      </c>
      <c r="D224" s="70" t="s">
        <v>22</v>
      </c>
      <c r="E224" s="30">
        <v>1</v>
      </c>
      <c r="F224" s="30" t="s">
        <v>24</v>
      </c>
      <c r="G224" s="30">
        <v>4</v>
      </c>
      <c r="H224" s="30" t="s">
        <v>28</v>
      </c>
      <c r="I224" s="45" t="s">
        <v>80</v>
      </c>
      <c r="J224" s="71"/>
      <c r="K224" s="72"/>
      <c r="L224" s="73">
        <v>44616</v>
      </c>
      <c r="M224" s="30"/>
      <c r="N224" s="74">
        <v>73</v>
      </c>
      <c r="O224" s="30">
        <v>1</v>
      </c>
      <c r="P224" s="81"/>
      <c r="Q224" s="34" t="s">
        <v>27</v>
      </c>
      <c r="R224" s="75"/>
      <c r="S224" s="76"/>
      <c r="T224" s="77">
        <v>39.83</v>
      </c>
      <c r="U224" s="30">
        <f t="shared" si="13"/>
        <v>39.83</v>
      </c>
      <c r="V224" s="30">
        <f t="shared" si="15"/>
        <v>39.83</v>
      </c>
      <c r="W224" s="30">
        <f t="shared" si="16"/>
        <v>7.1693999999999996</v>
      </c>
      <c r="X224" s="79">
        <f t="shared" si="14"/>
        <v>46.999399999999994</v>
      </c>
      <c r="Y224" s="44"/>
    </row>
    <row r="225" spans="1:25" ht="31.2">
      <c r="A225" s="73">
        <v>44616</v>
      </c>
      <c r="B225" s="30" t="s">
        <v>381</v>
      </c>
      <c r="C225" s="69" t="s">
        <v>21</v>
      </c>
      <c r="D225" s="70" t="s">
        <v>22</v>
      </c>
      <c r="E225" s="30">
        <v>1</v>
      </c>
      <c r="F225" s="30" t="s">
        <v>24</v>
      </c>
      <c r="G225" s="30">
        <v>4</v>
      </c>
      <c r="H225" s="30" t="s">
        <v>28</v>
      </c>
      <c r="I225" s="45" t="s">
        <v>49</v>
      </c>
      <c r="J225" s="71"/>
      <c r="K225" s="72"/>
      <c r="L225" s="73">
        <v>44616</v>
      </c>
      <c r="M225" s="30"/>
      <c r="N225" s="74" t="s">
        <v>176</v>
      </c>
      <c r="O225" s="30">
        <v>1</v>
      </c>
      <c r="P225" s="81"/>
      <c r="Q225" s="34" t="s">
        <v>27</v>
      </c>
      <c r="R225" s="75"/>
      <c r="S225" s="76"/>
      <c r="T225" s="77">
        <v>72.034000000000006</v>
      </c>
      <c r="U225" s="30">
        <f t="shared" si="13"/>
        <v>72.034000000000006</v>
      </c>
      <c r="V225" s="30">
        <f t="shared" si="15"/>
        <v>72.034000000000006</v>
      </c>
      <c r="W225" s="30">
        <f t="shared" si="16"/>
        <v>12.96612</v>
      </c>
      <c r="X225" s="79">
        <f t="shared" si="14"/>
        <v>85.00012000000001</v>
      </c>
      <c r="Y225" s="44"/>
    </row>
    <row r="226" spans="1:25" ht="62.4">
      <c r="A226" s="73">
        <v>44617</v>
      </c>
      <c r="B226" s="30" t="s">
        <v>301</v>
      </c>
      <c r="C226" s="69" t="s">
        <v>21</v>
      </c>
      <c r="D226" s="70" t="s">
        <v>22</v>
      </c>
      <c r="E226" s="30">
        <v>12</v>
      </c>
      <c r="F226" s="30" t="s">
        <v>24</v>
      </c>
      <c r="G226" s="30">
        <v>1</v>
      </c>
      <c r="H226" s="30" t="s">
        <v>32</v>
      </c>
      <c r="I226" s="45" t="s">
        <v>130</v>
      </c>
      <c r="J226" s="71"/>
      <c r="K226" s="72"/>
      <c r="L226" s="73">
        <v>44617</v>
      </c>
      <c r="M226" s="30"/>
      <c r="N226" s="74" t="s">
        <v>177</v>
      </c>
      <c r="O226" s="30">
        <v>1</v>
      </c>
      <c r="P226" s="81"/>
      <c r="Q226" s="34" t="s">
        <v>27</v>
      </c>
      <c r="R226" s="75"/>
      <c r="S226" s="76"/>
      <c r="T226" s="77">
        <v>2.71</v>
      </c>
      <c r="U226" s="30">
        <f t="shared" si="13"/>
        <v>32.519999999999996</v>
      </c>
      <c r="V226" s="30">
        <f t="shared" si="15"/>
        <v>32.519999999999996</v>
      </c>
      <c r="W226" s="30">
        <f t="shared" si="16"/>
        <v>5.8535999999999992</v>
      </c>
      <c r="X226" s="79">
        <f t="shared" si="14"/>
        <v>38.373599999999996</v>
      </c>
      <c r="Y226" s="44"/>
    </row>
    <row r="227" spans="1:25" ht="31.2">
      <c r="A227" s="73">
        <v>44617</v>
      </c>
      <c r="B227" s="30" t="s">
        <v>382</v>
      </c>
      <c r="C227" s="69" t="s">
        <v>21</v>
      </c>
      <c r="D227" s="70" t="s">
        <v>22</v>
      </c>
      <c r="E227" s="30">
        <v>1</v>
      </c>
      <c r="F227" s="30" t="s">
        <v>24</v>
      </c>
      <c r="G227" s="30">
        <v>4</v>
      </c>
      <c r="H227" s="30" t="s">
        <v>28</v>
      </c>
      <c r="I227" s="45" t="s">
        <v>40</v>
      </c>
      <c r="J227" s="71"/>
      <c r="K227" s="72"/>
      <c r="L227" s="73">
        <v>44617</v>
      </c>
      <c r="M227" s="30"/>
      <c r="N227" s="74" t="s">
        <v>178</v>
      </c>
      <c r="O227" s="30">
        <v>1</v>
      </c>
      <c r="P227" s="81"/>
      <c r="Q227" s="34" t="s">
        <v>27</v>
      </c>
      <c r="R227" s="75"/>
      <c r="S227" s="76"/>
      <c r="T227" s="77">
        <v>16.95</v>
      </c>
      <c r="U227" s="30">
        <f t="shared" si="13"/>
        <v>16.95</v>
      </c>
      <c r="V227" s="30">
        <f t="shared" si="15"/>
        <v>16.95</v>
      </c>
      <c r="W227" s="30">
        <f t="shared" si="16"/>
        <v>3.0509999999999997</v>
      </c>
      <c r="X227" s="79">
        <f t="shared" si="14"/>
        <v>20.000999999999998</v>
      </c>
      <c r="Y227" s="44"/>
    </row>
    <row r="228" spans="1:25" ht="31.2">
      <c r="A228" s="73">
        <v>44617</v>
      </c>
      <c r="B228" s="30" t="s">
        <v>382</v>
      </c>
      <c r="C228" s="69" t="s">
        <v>21</v>
      </c>
      <c r="D228" s="70" t="s">
        <v>22</v>
      </c>
      <c r="E228" s="30">
        <v>1</v>
      </c>
      <c r="F228" s="30" t="s">
        <v>24</v>
      </c>
      <c r="G228" s="30">
        <v>1</v>
      </c>
      <c r="H228" s="30" t="s">
        <v>28</v>
      </c>
      <c r="I228" s="45" t="s">
        <v>82</v>
      </c>
      <c r="J228" s="71"/>
      <c r="K228" s="72"/>
      <c r="L228" s="73">
        <v>44617</v>
      </c>
      <c r="M228" s="30"/>
      <c r="N228" s="74" t="s">
        <v>178</v>
      </c>
      <c r="O228" s="30">
        <v>1</v>
      </c>
      <c r="P228" s="81"/>
      <c r="Q228" s="34" t="s">
        <v>27</v>
      </c>
      <c r="R228" s="75"/>
      <c r="S228" s="76"/>
      <c r="T228" s="77">
        <v>10.17</v>
      </c>
      <c r="U228" s="78">
        <f t="shared" si="13"/>
        <v>10.17</v>
      </c>
      <c r="V228" s="30">
        <f t="shared" si="15"/>
        <v>10.17</v>
      </c>
      <c r="W228" s="30">
        <f t="shared" si="16"/>
        <v>1.8306</v>
      </c>
      <c r="X228" s="79">
        <f t="shared" si="14"/>
        <v>12.0006</v>
      </c>
      <c r="Y228" s="44"/>
    </row>
    <row r="229" spans="1:25" ht="31.2">
      <c r="A229" s="73">
        <v>44617</v>
      </c>
      <c r="B229" s="30" t="s">
        <v>383</v>
      </c>
      <c r="C229" s="69" t="s">
        <v>21</v>
      </c>
      <c r="D229" s="70" t="s">
        <v>22</v>
      </c>
      <c r="E229" s="30">
        <v>1</v>
      </c>
      <c r="F229" s="30" t="s">
        <v>24</v>
      </c>
      <c r="G229" s="30">
        <v>0.5</v>
      </c>
      <c r="H229" s="30" t="s">
        <v>28</v>
      </c>
      <c r="I229" s="45" t="s">
        <v>117</v>
      </c>
      <c r="J229" s="71"/>
      <c r="K229" s="72"/>
      <c r="L229" s="73">
        <v>44617</v>
      </c>
      <c r="M229" s="30"/>
      <c r="N229" s="74" t="s">
        <v>179</v>
      </c>
      <c r="O229" s="30">
        <v>1</v>
      </c>
      <c r="P229" s="81"/>
      <c r="Q229" s="34" t="s">
        <v>27</v>
      </c>
      <c r="R229" s="75"/>
      <c r="S229" s="76"/>
      <c r="T229" s="77">
        <v>6.78</v>
      </c>
      <c r="U229" s="30">
        <f t="shared" si="13"/>
        <v>6.78</v>
      </c>
      <c r="V229" s="30">
        <f t="shared" si="15"/>
        <v>6.78</v>
      </c>
      <c r="W229" s="30">
        <f t="shared" si="16"/>
        <v>1.2203999999999999</v>
      </c>
      <c r="X229" s="79">
        <f t="shared" si="14"/>
        <v>8.0004000000000008</v>
      </c>
      <c r="Y229" s="44"/>
    </row>
    <row r="230" spans="1:25" ht="15.6">
      <c r="A230" s="73">
        <v>44617</v>
      </c>
      <c r="B230" s="30" t="s">
        <v>383</v>
      </c>
      <c r="C230" s="69" t="s">
        <v>21</v>
      </c>
      <c r="D230" s="70" t="s">
        <v>22</v>
      </c>
      <c r="E230" s="30">
        <v>1</v>
      </c>
      <c r="F230" s="30" t="s">
        <v>24</v>
      </c>
      <c r="G230" s="30">
        <v>1</v>
      </c>
      <c r="H230" s="30" t="s">
        <v>28</v>
      </c>
      <c r="I230" s="45" t="s">
        <v>35</v>
      </c>
      <c r="J230" s="71"/>
      <c r="K230" s="72"/>
      <c r="L230" s="73">
        <v>44617</v>
      </c>
      <c r="M230" s="30"/>
      <c r="N230" s="74" t="s">
        <v>179</v>
      </c>
      <c r="O230" s="30">
        <v>1</v>
      </c>
      <c r="P230" s="81"/>
      <c r="Q230" s="34" t="s">
        <v>27</v>
      </c>
      <c r="R230" s="75"/>
      <c r="S230" s="76"/>
      <c r="T230" s="77">
        <v>8.0500000000000007</v>
      </c>
      <c r="U230" s="30">
        <f t="shared" si="13"/>
        <v>8.0500000000000007</v>
      </c>
      <c r="V230" s="30">
        <f t="shared" si="15"/>
        <v>8.0500000000000007</v>
      </c>
      <c r="W230" s="30">
        <f t="shared" si="16"/>
        <v>1.4490000000000001</v>
      </c>
      <c r="X230" s="79">
        <f t="shared" si="14"/>
        <v>9.4990000000000006</v>
      </c>
      <c r="Y230" s="44"/>
    </row>
    <row r="231" spans="1:25" ht="31.2">
      <c r="A231" s="73">
        <v>44617</v>
      </c>
      <c r="B231" s="30" t="s">
        <v>384</v>
      </c>
      <c r="C231" s="69" t="s">
        <v>21</v>
      </c>
      <c r="D231" s="70" t="s">
        <v>22</v>
      </c>
      <c r="E231" s="30">
        <v>3</v>
      </c>
      <c r="F231" s="30" t="s">
        <v>24</v>
      </c>
      <c r="G231" s="30">
        <v>4</v>
      </c>
      <c r="H231" s="30" t="s">
        <v>28</v>
      </c>
      <c r="I231" s="45" t="s">
        <v>49</v>
      </c>
      <c r="J231" s="71"/>
      <c r="K231" s="72"/>
      <c r="L231" s="73">
        <v>44617</v>
      </c>
      <c r="M231" s="30"/>
      <c r="N231" s="74" t="s">
        <v>180</v>
      </c>
      <c r="O231" s="30">
        <v>1</v>
      </c>
      <c r="P231" s="81"/>
      <c r="Q231" s="34" t="s">
        <v>27</v>
      </c>
      <c r="R231" s="75"/>
      <c r="S231" s="76"/>
      <c r="T231" s="77">
        <v>72.034000000000006</v>
      </c>
      <c r="U231" s="30">
        <f t="shared" si="13"/>
        <v>216.10200000000003</v>
      </c>
      <c r="V231" s="30">
        <f t="shared" si="15"/>
        <v>216.10200000000003</v>
      </c>
      <c r="W231" s="30">
        <f t="shared" si="16"/>
        <v>38.898360000000004</v>
      </c>
      <c r="X231" s="79">
        <f t="shared" si="14"/>
        <v>255.00036000000003</v>
      </c>
      <c r="Y231" s="44"/>
    </row>
    <row r="232" spans="1:25" ht="31.2">
      <c r="A232" s="73">
        <v>44617</v>
      </c>
      <c r="B232" s="30" t="s">
        <v>385</v>
      </c>
      <c r="C232" s="69" t="s">
        <v>21</v>
      </c>
      <c r="D232" s="70" t="s">
        <v>22</v>
      </c>
      <c r="E232" s="30">
        <v>1</v>
      </c>
      <c r="F232" s="30" t="s">
        <v>24</v>
      </c>
      <c r="G232" s="30">
        <v>1</v>
      </c>
      <c r="H232" s="30" t="s">
        <v>28</v>
      </c>
      <c r="I232" s="45" t="s">
        <v>117</v>
      </c>
      <c r="J232" s="71"/>
      <c r="K232" s="72"/>
      <c r="L232" s="73">
        <v>44617</v>
      </c>
      <c r="M232" s="30"/>
      <c r="N232" s="74" t="s">
        <v>181</v>
      </c>
      <c r="O232" s="30">
        <v>1</v>
      </c>
      <c r="P232" s="81"/>
      <c r="Q232" s="34" t="s">
        <v>27</v>
      </c>
      <c r="R232" s="75"/>
      <c r="S232" s="76"/>
      <c r="T232" s="77">
        <v>10.17</v>
      </c>
      <c r="U232" s="30">
        <f t="shared" si="13"/>
        <v>10.17</v>
      </c>
      <c r="V232" s="30">
        <f t="shared" si="15"/>
        <v>10.17</v>
      </c>
      <c r="W232" s="30">
        <f t="shared" si="16"/>
        <v>1.8306</v>
      </c>
      <c r="X232" s="79">
        <f t="shared" si="14"/>
        <v>12.0006</v>
      </c>
      <c r="Y232" s="44"/>
    </row>
    <row r="233" spans="1:25" ht="31.2">
      <c r="A233" s="73">
        <v>44617</v>
      </c>
      <c r="B233" s="30" t="s">
        <v>385</v>
      </c>
      <c r="C233" s="69" t="s">
        <v>21</v>
      </c>
      <c r="D233" s="70" t="s">
        <v>22</v>
      </c>
      <c r="E233" s="30">
        <v>1</v>
      </c>
      <c r="F233" s="30" t="s">
        <v>24</v>
      </c>
      <c r="G233" s="30">
        <v>0.5</v>
      </c>
      <c r="H233" s="30" t="s">
        <v>28</v>
      </c>
      <c r="I233" s="45" t="s">
        <v>82</v>
      </c>
      <c r="J233" s="71"/>
      <c r="K233" s="72"/>
      <c r="L233" s="73">
        <v>44617</v>
      </c>
      <c r="M233" s="30"/>
      <c r="N233" s="74" t="s">
        <v>181</v>
      </c>
      <c r="O233" s="30">
        <v>1</v>
      </c>
      <c r="P233" s="81"/>
      <c r="Q233" s="34" t="s">
        <v>27</v>
      </c>
      <c r="R233" s="75"/>
      <c r="S233" s="76"/>
      <c r="T233" s="77">
        <v>6.78</v>
      </c>
      <c r="U233" s="30">
        <f t="shared" si="13"/>
        <v>6.78</v>
      </c>
      <c r="V233" s="30">
        <f t="shared" si="15"/>
        <v>6.78</v>
      </c>
      <c r="W233" s="30">
        <f t="shared" si="16"/>
        <v>1.2203999999999999</v>
      </c>
      <c r="X233" s="79">
        <f t="shared" si="14"/>
        <v>8.0004000000000008</v>
      </c>
      <c r="Y233" s="44"/>
    </row>
    <row r="234" spans="1:25" ht="31.2">
      <c r="A234" s="73">
        <v>44617</v>
      </c>
      <c r="B234" s="30" t="s">
        <v>386</v>
      </c>
      <c r="C234" s="69" t="s">
        <v>21</v>
      </c>
      <c r="D234" s="70" t="s">
        <v>22</v>
      </c>
      <c r="E234" s="30">
        <v>1</v>
      </c>
      <c r="F234" s="30" t="s">
        <v>24</v>
      </c>
      <c r="G234" s="30">
        <v>0.5</v>
      </c>
      <c r="H234" s="30" t="s">
        <v>28</v>
      </c>
      <c r="I234" s="45" t="s">
        <v>82</v>
      </c>
      <c r="J234" s="71"/>
      <c r="K234" s="72"/>
      <c r="L234" s="73">
        <v>44617</v>
      </c>
      <c r="M234" s="30"/>
      <c r="N234" s="74" t="s">
        <v>182</v>
      </c>
      <c r="O234" s="30">
        <v>1</v>
      </c>
      <c r="P234" s="81"/>
      <c r="Q234" s="34" t="s">
        <v>27</v>
      </c>
      <c r="R234" s="75"/>
      <c r="S234" s="76"/>
      <c r="T234" s="77">
        <v>6.78</v>
      </c>
      <c r="U234" s="30">
        <f t="shared" si="13"/>
        <v>6.78</v>
      </c>
      <c r="V234" s="30">
        <f t="shared" si="15"/>
        <v>6.78</v>
      </c>
      <c r="W234" s="30">
        <f t="shared" si="16"/>
        <v>1.2203999999999999</v>
      </c>
      <c r="X234" s="79">
        <f t="shared" si="14"/>
        <v>8.0004000000000008</v>
      </c>
      <c r="Y234" s="44"/>
    </row>
    <row r="235" spans="1:25" ht="46.8">
      <c r="A235" s="73">
        <v>44620</v>
      </c>
      <c r="B235" s="30" t="s">
        <v>387</v>
      </c>
      <c r="C235" s="69" t="s">
        <v>21</v>
      </c>
      <c r="D235" s="70" t="s">
        <v>22</v>
      </c>
      <c r="E235" s="30">
        <v>1</v>
      </c>
      <c r="F235" s="30" t="s">
        <v>24</v>
      </c>
      <c r="G235" s="30">
        <v>4</v>
      </c>
      <c r="H235" s="30" t="s">
        <v>28</v>
      </c>
      <c r="I235" s="45" t="s">
        <v>183</v>
      </c>
      <c r="J235" s="71"/>
      <c r="K235" s="72"/>
      <c r="L235" s="73">
        <v>44255</v>
      </c>
      <c r="M235" s="30"/>
      <c r="N235" s="74" t="s">
        <v>184</v>
      </c>
      <c r="O235" s="30">
        <v>1</v>
      </c>
      <c r="P235" s="81"/>
      <c r="Q235" s="34" t="s">
        <v>27</v>
      </c>
      <c r="R235" s="75"/>
      <c r="S235" s="76"/>
      <c r="T235" s="77">
        <v>16.53</v>
      </c>
      <c r="U235" s="30">
        <f t="shared" si="13"/>
        <v>16.53</v>
      </c>
      <c r="V235" s="30">
        <f t="shared" si="15"/>
        <v>16.53</v>
      </c>
      <c r="W235" s="30">
        <f t="shared" si="16"/>
        <v>2.9754</v>
      </c>
      <c r="X235" s="79">
        <f t="shared" si="14"/>
        <v>19.505400000000002</v>
      </c>
      <c r="Y235" s="44"/>
    </row>
    <row r="236" spans="1:25" ht="15.6">
      <c r="A236" s="73">
        <v>44620</v>
      </c>
      <c r="B236" s="30" t="s">
        <v>387</v>
      </c>
      <c r="C236" s="69" t="s">
        <v>21</v>
      </c>
      <c r="D236" s="70" t="s">
        <v>22</v>
      </c>
      <c r="E236" s="30">
        <v>1</v>
      </c>
      <c r="F236" s="30" t="s">
        <v>24</v>
      </c>
      <c r="G236" s="30">
        <v>1</v>
      </c>
      <c r="H236" s="30" t="s">
        <v>28</v>
      </c>
      <c r="I236" s="45" t="s">
        <v>35</v>
      </c>
      <c r="J236" s="71"/>
      <c r="K236" s="80"/>
      <c r="L236" s="73">
        <v>44255</v>
      </c>
      <c r="M236" s="30"/>
      <c r="N236" s="74" t="s">
        <v>184</v>
      </c>
      <c r="O236" s="30">
        <v>1</v>
      </c>
      <c r="P236" s="81"/>
      <c r="Q236" s="34" t="s">
        <v>27</v>
      </c>
      <c r="R236" s="75"/>
      <c r="S236" s="76"/>
      <c r="T236" s="77">
        <v>8.0500000000000007</v>
      </c>
      <c r="U236" s="79">
        <f t="shared" si="13"/>
        <v>8.0500000000000007</v>
      </c>
      <c r="V236" s="30">
        <f t="shared" si="15"/>
        <v>8.0500000000000007</v>
      </c>
      <c r="W236" s="30">
        <f t="shared" si="16"/>
        <v>1.4490000000000001</v>
      </c>
      <c r="X236" s="79">
        <f t="shared" si="14"/>
        <v>9.4990000000000006</v>
      </c>
      <c r="Y236" s="44"/>
    </row>
    <row r="237" spans="1:25" ht="31.2">
      <c r="A237" s="73">
        <v>44620</v>
      </c>
      <c r="B237" s="30" t="s">
        <v>387</v>
      </c>
      <c r="C237" s="69" t="s">
        <v>21</v>
      </c>
      <c r="D237" s="70" t="s">
        <v>22</v>
      </c>
      <c r="E237" s="30">
        <v>1</v>
      </c>
      <c r="F237" s="30" t="s">
        <v>24</v>
      </c>
      <c r="G237" s="30">
        <v>0.5</v>
      </c>
      <c r="H237" s="30" t="s">
        <v>28</v>
      </c>
      <c r="I237" s="45" t="s">
        <v>52</v>
      </c>
      <c r="J237" s="71"/>
      <c r="K237" s="80"/>
      <c r="L237" s="73">
        <v>44255</v>
      </c>
      <c r="M237" s="30"/>
      <c r="N237" s="74" t="s">
        <v>184</v>
      </c>
      <c r="O237" s="30">
        <v>1</v>
      </c>
      <c r="P237" s="81"/>
      <c r="Q237" s="34" t="s">
        <v>27</v>
      </c>
      <c r="R237" s="75"/>
      <c r="S237" s="76"/>
      <c r="T237" s="77">
        <v>6.78</v>
      </c>
      <c r="U237" s="30">
        <f t="shared" si="13"/>
        <v>6.78</v>
      </c>
      <c r="V237" s="30">
        <f t="shared" si="15"/>
        <v>6.78</v>
      </c>
      <c r="W237" s="30">
        <f t="shared" si="16"/>
        <v>1.2203999999999999</v>
      </c>
      <c r="X237" s="79">
        <f t="shared" si="14"/>
        <v>8.0004000000000008</v>
      </c>
      <c r="Y237" s="44"/>
    </row>
    <row r="238" spans="1:25" ht="31.2">
      <c r="A238" s="73">
        <v>44620</v>
      </c>
      <c r="B238" s="30" t="s">
        <v>387</v>
      </c>
      <c r="C238" s="69" t="s">
        <v>21</v>
      </c>
      <c r="D238" s="70" t="s">
        <v>22</v>
      </c>
      <c r="E238" s="30">
        <v>1</v>
      </c>
      <c r="F238" s="30" t="s">
        <v>24</v>
      </c>
      <c r="G238" s="30">
        <v>0.5</v>
      </c>
      <c r="H238" s="30" t="s">
        <v>28</v>
      </c>
      <c r="I238" s="45" t="s">
        <v>117</v>
      </c>
      <c r="J238" s="71"/>
      <c r="K238" s="72"/>
      <c r="L238" s="73">
        <v>44255</v>
      </c>
      <c r="M238" s="30"/>
      <c r="N238" s="74" t="s">
        <v>184</v>
      </c>
      <c r="O238" s="30">
        <v>1</v>
      </c>
      <c r="P238" s="81"/>
      <c r="Q238" s="34" t="s">
        <v>27</v>
      </c>
      <c r="R238" s="75"/>
      <c r="S238" s="76"/>
      <c r="T238" s="77">
        <v>6.78</v>
      </c>
      <c r="U238" s="30">
        <f t="shared" si="13"/>
        <v>6.78</v>
      </c>
      <c r="V238" s="30">
        <f t="shared" si="15"/>
        <v>6.78</v>
      </c>
      <c r="W238" s="30">
        <f t="shared" si="16"/>
        <v>1.2203999999999999</v>
      </c>
      <c r="X238" s="79">
        <f t="shared" si="14"/>
        <v>8.0004000000000008</v>
      </c>
      <c r="Y238" s="44"/>
    </row>
    <row r="239" spans="1:25" ht="46.8">
      <c r="A239" s="73">
        <v>44620</v>
      </c>
      <c r="B239" s="30" t="s">
        <v>387</v>
      </c>
      <c r="C239" s="69" t="s">
        <v>21</v>
      </c>
      <c r="D239" s="70" t="s">
        <v>22</v>
      </c>
      <c r="E239" s="30">
        <v>1</v>
      </c>
      <c r="F239" s="30" t="s">
        <v>24</v>
      </c>
      <c r="G239" s="30">
        <v>1</v>
      </c>
      <c r="H239" s="30" t="s">
        <v>28</v>
      </c>
      <c r="I239" s="45" t="s">
        <v>73</v>
      </c>
      <c r="J239" s="71"/>
      <c r="K239" s="72"/>
      <c r="L239" s="73">
        <v>44255</v>
      </c>
      <c r="M239" s="30"/>
      <c r="N239" s="74" t="s">
        <v>184</v>
      </c>
      <c r="O239" s="30">
        <v>1</v>
      </c>
      <c r="P239" s="81"/>
      <c r="Q239" s="34" t="s">
        <v>27</v>
      </c>
      <c r="R239" s="75"/>
      <c r="S239" s="76"/>
      <c r="T239" s="77">
        <v>10.17</v>
      </c>
      <c r="U239" s="30">
        <f t="shared" si="13"/>
        <v>10.17</v>
      </c>
      <c r="V239" s="30">
        <f t="shared" si="15"/>
        <v>10.17</v>
      </c>
      <c r="W239" s="30">
        <f t="shared" si="16"/>
        <v>1.8306</v>
      </c>
      <c r="X239" s="79">
        <f t="shared" si="14"/>
        <v>12.0006</v>
      </c>
      <c r="Y239" s="44"/>
    </row>
    <row r="240" spans="1:25" ht="31.2">
      <c r="A240" s="73">
        <v>44620</v>
      </c>
      <c r="B240" s="30" t="s">
        <v>387</v>
      </c>
      <c r="C240" s="69" t="s">
        <v>21</v>
      </c>
      <c r="D240" s="70" t="s">
        <v>22</v>
      </c>
      <c r="E240" s="30">
        <v>1</v>
      </c>
      <c r="F240" s="30" t="s">
        <v>24</v>
      </c>
      <c r="G240" s="30">
        <v>1</v>
      </c>
      <c r="H240" s="30" t="s">
        <v>28</v>
      </c>
      <c r="I240" s="45" t="s">
        <v>82</v>
      </c>
      <c r="J240" s="71"/>
      <c r="K240" s="72"/>
      <c r="L240" s="73">
        <v>44255</v>
      </c>
      <c r="M240" s="30"/>
      <c r="N240" s="74" t="s">
        <v>184</v>
      </c>
      <c r="O240" s="30">
        <v>1</v>
      </c>
      <c r="P240" s="81"/>
      <c r="Q240" s="34" t="s">
        <v>27</v>
      </c>
      <c r="R240" s="75"/>
      <c r="S240" s="76"/>
      <c r="T240" s="77">
        <v>6.78</v>
      </c>
      <c r="U240" s="30">
        <f t="shared" si="13"/>
        <v>6.78</v>
      </c>
      <c r="V240" s="30">
        <f t="shared" si="15"/>
        <v>6.78</v>
      </c>
      <c r="W240" s="30">
        <f t="shared" si="16"/>
        <v>1.2203999999999999</v>
      </c>
      <c r="X240" s="79">
        <f t="shared" si="14"/>
        <v>8.0004000000000008</v>
      </c>
      <c r="Y240" s="44"/>
    </row>
    <row r="241" spans="1:25" ht="31.2">
      <c r="A241" s="73">
        <v>44620</v>
      </c>
      <c r="B241" s="30" t="s">
        <v>387</v>
      </c>
      <c r="C241" s="69" t="s">
        <v>21</v>
      </c>
      <c r="D241" s="70" t="s">
        <v>22</v>
      </c>
      <c r="E241" s="30">
        <v>1</v>
      </c>
      <c r="F241" s="30" t="s">
        <v>24</v>
      </c>
      <c r="G241" s="30">
        <v>1</v>
      </c>
      <c r="H241" s="30" t="s">
        <v>28</v>
      </c>
      <c r="I241" s="45" t="s">
        <v>31</v>
      </c>
      <c r="J241" s="71"/>
      <c r="K241" s="72"/>
      <c r="L241" s="73">
        <v>44255</v>
      </c>
      <c r="M241" s="30"/>
      <c r="N241" s="74" t="s">
        <v>184</v>
      </c>
      <c r="O241" s="30">
        <v>1</v>
      </c>
      <c r="P241" s="81"/>
      <c r="Q241" s="34" t="s">
        <v>27</v>
      </c>
      <c r="R241" s="75"/>
      <c r="S241" s="76"/>
      <c r="T241" s="77">
        <v>8.0500000000000007</v>
      </c>
      <c r="U241" s="30">
        <f t="shared" si="13"/>
        <v>8.0500000000000007</v>
      </c>
      <c r="V241" s="30">
        <f t="shared" si="15"/>
        <v>8.0500000000000007</v>
      </c>
      <c r="W241" s="30">
        <f t="shared" si="16"/>
        <v>1.4490000000000001</v>
      </c>
      <c r="X241" s="79">
        <f t="shared" si="14"/>
        <v>9.4990000000000006</v>
      </c>
      <c r="Y241" s="44"/>
    </row>
    <row r="242" spans="1:25" ht="46.8">
      <c r="A242" s="73">
        <v>44620</v>
      </c>
      <c r="B242" s="30" t="s">
        <v>387</v>
      </c>
      <c r="C242" s="69" t="s">
        <v>21</v>
      </c>
      <c r="D242" s="70" t="s">
        <v>22</v>
      </c>
      <c r="E242" s="30">
        <v>1</v>
      </c>
      <c r="F242" s="30" t="s">
        <v>24</v>
      </c>
      <c r="G242" s="30">
        <v>1</v>
      </c>
      <c r="H242" s="30" t="s">
        <v>28</v>
      </c>
      <c r="I242" s="45" t="s">
        <v>142</v>
      </c>
      <c r="J242" s="71"/>
      <c r="K242" s="72"/>
      <c r="L242" s="73">
        <v>44255</v>
      </c>
      <c r="M242" s="30"/>
      <c r="N242" s="74" t="s">
        <v>184</v>
      </c>
      <c r="O242" s="30">
        <v>1</v>
      </c>
      <c r="P242" s="81"/>
      <c r="Q242" s="34" t="s">
        <v>27</v>
      </c>
      <c r="R242" s="75"/>
      <c r="S242" s="76"/>
      <c r="T242" s="77">
        <v>8.0500000000000007</v>
      </c>
      <c r="U242" s="30">
        <f t="shared" si="13"/>
        <v>8.0500000000000007</v>
      </c>
      <c r="V242" s="30">
        <f t="shared" si="15"/>
        <v>8.0500000000000007</v>
      </c>
      <c r="W242" s="30">
        <f t="shared" si="16"/>
        <v>1.4490000000000001</v>
      </c>
      <c r="X242" s="79">
        <f t="shared" si="14"/>
        <v>9.4990000000000006</v>
      </c>
      <c r="Y242" s="44"/>
    </row>
    <row r="243" spans="1:25" ht="15.6">
      <c r="A243" s="73">
        <v>44621</v>
      </c>
      <c r="B243" s="30" t="s">
        <v>388</v>
      </c>
      <c r="C243" s="69" t="s">
        <v>21</v>
      </c>
      <c r="D243" s="70" t="s">
        <v>22</v>
      </c>
      <c r="E243" s="30">
        <v>1</v>
      </c>
      <c r="F243" s="30" t="s">
        <v>24</v>
      </c>
      <c r="G243" s="30">
        <v>1</v>
      </c>
      <c r="H243" s="30" t="s">
        <v>28</v>
      </c>
      <c r="I243" s="45" t="s">
        <v>35</v>
      </c>
      <c r="J243" s="71"/>
      <c r="K243" s="72"/>
      <c r="L243" s="73">
        <v>44621</v>
      </c>
      <c r="M243" s="30"/>
      <c r="N243" s="74" t="s">
        <v>185</v>
      </c>
      <c r="O243" s="30">
        <v>1</v>
      </c>
      <c r="P243" s="81"/>
      <c r="Q243" s="34" t="s">
        <v>27</v>
      </c>
      <c r="R243" s="75"/>
      <c r="S243" s="76"/>
      <c r="T243" s="77">
        <v>8.0500000000000007</v>
      </c>
      <c r="U243" s="30">
        <f t="shared" si="13"/>
        <v>8.0500000000000007</v>
      </c>
      <c r="V243" s="30">
        <f t="shared" si="15"/>
        <v>8.0500000000000007</v>
      </c>
      <c r="W243" s="30">
        <f t="shared" si="16"/>
        <v>1.4490000000000001</v>
      </c>
      <c r="X243" s="79">
        <f t="shared" si="14"/>
        <v>9.4990000000000006</v>
      </c>
      <c r="Y243" s="44"/>
    </row>
    <row r="244" spans="1:25" ht="31.2">
      <c r="A244" s="73">
        <v>44621</v>
      </c>
      <c r="B244" s="30" t="s">
        <v>388</v>
      </c>
      <c r="C244" s="69" t="s">
        <v>21</v>
      </c>
      <c r="D244" s="70" t="s">
        <v>22</v>
      </c>
      <c r="E244" s="30">
        <v>1</v>
      </c>
      <c r="F244" s="30" t="s">
        <v>24</v>
      </c>
      <c r="G244" s="30">
        <v>4</v>
      </c>
      <c r="H244" s="30" t="s">
        <v>28</v>
      </c>
      <c r="I244" s="45" t="s">
        <v>40</v>
      </c>
      <c r="J244" s="71"/>
      <c r="K244" s="72"/>
      <c r="L244" s="73">
        <v>44621</v>
      </c>
      <c r="M244" s="30"/>
      <c r="N244" s="74" t="s">
        <v>185</v>
      </c>
      <c r="O244" s="30">
        <v>1</v>
      </c>
      <c r="P244" s="81"/>
      <c r="Q244" s="34" t="s">
        <v>27</v>
      </c>
      <c r="R244" s="75"/>
      <c r="S244" s="76"/>
      <c r="T244" s="77">
        <v>16.95</v>
      </c>
      <c r="U244" s="30">
        <f t="shared" si="13"/>
        <v>16.95</v>
      </c>
      <c r="V244" s="30">
        <f t="shared" si="15"/>
        <v>16.95</v>
      </c>
      <c r="W244" s="30">
        <f t="shared" si="16"/>
        <v>3.0509999999999997</v>
      </c>
      <c r="X244" s="79">
        <f t="shared" si="14"/>
        <v>20.000999999999998</v>
      </c>
      <c r="Y244" s="44"/>
    </row>
    <row r="245" spans="1:25" ht="31.2">
      <c r="A245" s="73">
        <v>44621</v>
      </c>
      <c r="B245" s="30" t="s">
        <v>388</v>
      </c>
      <c r="C245" s="69" t="s">
        <v>21</v>
      </c>
      <c r="D245" s="70" t="s">
        <v>22</v>
      </c>
      <c r="E245" s="30">
        <v>1</v>
      </c>
      <c r="F245" s="30" t="s">
        <v>24</v>
      </c>
      <c r="G245" s="30">
        <v>4</v>
      </c>
      <c r="H245" s="30" t="s">
        <v>28</v>
      </c>
      <c r="I245" s="45" t="s">
        <v>31</v>
      </c>
      <c r="J245" s="71"/>
      <c r="K245" s="72"/>
      <c r="L245" s="73">
        <v>44621</v>
      </c>
      <c r="M245" s="30"/>
      <c r="N245" s="74" t="s">
        <v>185</v>
      </c>
      <c r="O245" s="30">
        <v>1</v>
      </c>
      <c r="P245" s="81"/>
      <c r="Q245" s="34" t="s">
        <v>27</v>
      </c>
      <c r="R245" s="75"/>
      <c r="S245" s="76"/>
      <c r="T245" s="77">
        <v>21.19</v>
      </c>
      <c r="U245" s="30">
        <f t="shared" si="13"/>
        <v>21.19</v>
      </c>
      <c r="V245" s="30">
        <f t="shared" si="15"/>
        <v>21.19</v>
      </c>
      <c r="W245" s="30">
        <f t="shared" si="16"/>
        <v>3.8142</v>
      </c>
      <c r="X245" s="79">
        <f t="shared" si="14"/>
        <v>25.004200000000001</v>
      </c>
      <c r="Y245" s="44"/>
    </row>
    <row r="246" spans="1:25" ht="31.2">
      <c r="A246" s="73">
        <v>44621</v>
      </c>
      <c r="B246" s="30" t="s">
        <v>389</v>
      </c>
      <c r="C246" s="69" t="s">
        <v>21</v>
      </c>
      <c r="D246" s="70" t="s">
        <v>22</v>
      </c>
      <c r="E246" s="30">
        <v>1</v>
      </c>
      <c r="F246" s="30" t="s">
        <v>24</v>
      </c>
      <c r="G246" s="30">
        <v>4</v>
      </c>
      <c r="H246" s="30" t="s">
        <v>28</v>
      </c>
      <c r="I246" s="45" t="s">
        <v>31</v>
      </c>
      <c r="J246" s="71"/>
      <c r="K246" s="72"/>
      <c r="L246" s="73">
        <v>44621</v>
      </c>
      <c r="M246" s="30"/>
      <c r="N246" s="74" t="s">
        <v>186</v>
      </c>
      <c r="O246" s="30">
        <v>1</v>
      </c>
      <c r="P246" s="81"/>
      <c r="Q246" s="34" t="s">
        <v>27</v>
      </c>
      <c r="R246" s="75"/>
      <c r="S246" s="76"/>
      <c r="T246" s="77">
        <v>21.19</v>
      </c>
      <c r="U246" s="30">
        <f t="shared" si="13"/>
        <v>21.19</v>
      </c>
      <c r="V246" s="30">
        <f t="shared" si="15"/>
        <v>21.19</v>
      </c>
      <c r="W246" s="30">
        <f t="shared" si="16"/>
        <v>3.8142</v>
      </c>
      <c r="X246" s="79">
        <f t="shared" si="14"/>
        <v>25.004200000000001</v>
      </c>
      <c r="Y246" s="44"/>
    </row>
    <row r="247" spans="1:25" ht="46.8">
      <c r="A247" s="73">
        <v>44621</v>
      </c>
      <c r="B247" s="30" t="s">
        <v>389</v>
      </c>
      <c r="C247" s="69" t="s">
        <v>21</v>
      </c>
      <c r="D247" s="70" t="s">
        <v>22</v>
      </c>
      <c r="E247" s="30">
        <v>2</v>
      </c>
      <c r="F247" s="30" t="s">
        <v>24</v>
      </c>
      <c r="G247" s="30">
        <v>4</v>
      </c>
      <c r="H247" s="30" t="s">
        <v>28</v>
      </c>
      <c r="I247" s="45" t="s">
        <v>170</v>
      </c>
      <c r="J247" s="71"/>
      <c r="K247" s="72"/>
      <c r="L247" s="73">
        <v>44621</v>
      </c>
      <c r="M247" s="30"/>
      <c r="N247" s="74" t="s">
        <v>186</v>
      </c>
      <c r="O247" s="30">
        <v>1</v>
      </c>
      <c r="P247" s="81"/>
      <c r="Q247" s="34" t="s">
        <v>27</v>
      </c>
      <c r="R247" s="75"/>
      <c r="S247" s="76"/>
      <c r="T247" s="77">
        <v>16.53</v>
      </c>
      <c r="U247" s="30">
        <f t="shared" si="13"/>
        <v>33.06</v>
      </c>
      <c r="V247" s="30">
        <f t="shared" si="15"/>
        <v>33.06</v>
      </c>
      <c r="W247" s="30">
        <f t="shared" si="16"/>
        <v>5.9508000000000001</v>
      </c>
      <c r="X247" s="79">
        <f t="shared" si="14"/>
        <v>39.010800000000003</v>
      </c>
      <c r="Y247" s="44"/>
    </row>
    <row r="248" spans="1:25" ht="46.8">
      <c r="A248" s="73">
        <v>44622</v>
      </c>
      <c r="B248" s="30" t="s">
        <v>390</v>
      </c>
      <c r="C248" s="69" t="s">
        <v>21</v>
      </c>
      <c r="D248" s="70" t="s">
        <v>22</v>
      </c>
      <c r="E248" s="30">
        <v>1</v>
      </c>
      <c r="F248" s="30" t="s">
        <v>24</v>
      </c>
      <c r="G248" s="30">
        <v>4</v>
      </c>
      <c r="H248" s="30" t="s">
        <v>28</v>
      </c>
      <c r="I248" s="45" t="s">
        <v>170</v>
      </c>
      <c r="J248" s="71"/>
      <c r="K248" s="80"/>
      <c r="L248" s="73">
        <v>44622</v>
      </c>
      <c r="M248" s="30"/>
      <c r="N248" s="74" t="s">
        <v>187</v>
      </c>
      <c r="O248" s="30">
        <v>1</v>
      </c>
      <c r="P248" s="81"/>
      <c r="Q248" s="34" t="s">
        <v>27</v>
      </c>
      <c r="R248" s="75"/>
      <c r="S248" s="76"/>
      <c r="T248" s="77">
        <v>16.53</v>
      </c>
      <c r="U248" s="30">
        <f t="shared" si="13"/>
        <v>16.53</v>
      </c>
      <c r="V248" s="30">
        <f t="shared" si="15"/>
        <v>16.53</v>
      </c>
      <c r="W248" s="30">
        <f t="shared" si="16"/>
        <v>2.9754</v>
      </c>
      <c r="X248" s="79">
        <f t="shared" si="14"/>
        <v>19.505400000000002</v>
      </c>
      <c r="Y248" s="44"/>
    </row>
    <row r="249" spans="1:25" ht="15.6">
      <c r="A249" s="73">
        <v>44622</v>
      </c>
      <c r="B249" s="30" t="s">
        <v>390</v>
      </c>
      <c r="C249" s="69" t="s">
        <v>21</v>
      </c>
      <c r="D249" s="70" t="s">
        <v>22</v>
      </c>
      <c r="E249" s="30">
        <v>3</v>
      </c>
      <c r="F249" s="30" t="s">
        <v>24</v>
      </c>
      <c r="G249" s="30">
        <v>4</v>
      </c>
      <c r="H249" s="30" t="s">
        <v>28</v>
      </c>
      <c r="I249" s="45" t="s">
        <v>35</v>
      </c>
      <c r="J249" s="71"/>
      <c r="K249" s="72"/>
      <c r="L249" s="73">
        <v>44622</v>
      </c>
      <c r="M249" s="30"/>
      <c r="N249" s="74" t="s">
        <v>188</v>
      </c>
      <c r="O249" s="30">
        <v>1</v>
      </c>
      <c r="P249" s="81"/>
      <c r="Q249" s="34" t="s">
        <v>27</v>
      </c>
      <c r="R249" s="75">
        <v>7.62</v>
      </c>
      <c r="S249" s="76"/>
      <c r="T249" s="77">
        <v>23.73</v>
      </c>
      <c r="U249" s="30">
        <f>(T249*E249)-R249</f>
        <v>63.57</v>
      </c>
      <c r="V249" s="30">
        <f t="shared" si="15"/>
        <v>63.57</v>
      </c>
      <c r="W249" s="30">
        <f t="shared" si="16"/>
        <v>11.442599999999999</v>
      </c>
      <c r="X249" s="79">
        <f t="shared" si="14"/>
        <v>75.012599999999992</v>
      </c>
      <c r="Y249" s="44"/>
    </row>
    <row r="250" spans="1:25" ht="46.8">
      <c r="A250" s="73">
        <v>44622</v>
      </c>
      <c r="B250" s="30" t="s">
        <v>391</v>
      </c>
      <c r="C250" s="69" t="s">
        <v>21</v>
      </c>
      <c r="D250" s="70" t="s">
        <v>22</v>
      </c>
      <c r="E250" s="30">
        <v>1</v>
      </c>
      <c r="F250" s="30" t="s">
        <v>24</v>
      </c>
      <c r="G250" s="30">
        <v>4</v>
      </c>
      <c r="H250" s="30" t="s">
        <v>28</v>
      </c>
      <c r="I250" s="45" t="s">
        <v>170</v>
      </c>
      <c r="J250" s="71"/>
      <c r="K250" s="72"/>
      <c r="L250" s="73">
        <v>44622</v>
      </c>
      <c r="M250" s="30"/>
      <c r="N250" s="74" t="s">
        <v>189</v>
      </c>
      <c r="O250" s="30">
        <v>1</v>
      </c>
      <c r="P250" s="81"/>
      <c r="Q250" s="34" t="s">
        <v>27</v>
      </c>
      <c r="R250" s="75"/>
      <c r="S250" s="76"/>
      <c r="T250" s="77">
        <v>16.53</v>
      </c>
      <c r="U250" s="30">
        <f t="shared" ref="U250:U313" si="17">(T250*E250)-R250</f>
        <v>16.53</v>
      </c>
      <c r="V250" s="30">
        <f t="shared" si="15"/>
        <v>16.53</v>
      </c>
      <c r="W250" s="30">
        <f t="shared" si="16"/>
        <v>2.9754</v>
      </c>
      <c r="X250" s="79">
        <f t="shared" si="14"/>
        <v>19.505400000000002</v>
      </c>
      <c r="Y250" s="44"/>
    </row>
    <row r="251" spans="1:25" ht="93.6">
      <c r="A251" s="73">
        <v>44623</v>
      </c>
      <c r="B251" s="30" t="s">
        <v>392</v>
      </c>
      <c r="C251" s="69" t="s">
        <v>21</v>
      </c>
      <c r="D251" s="70" t="s">
        <v>22</v>
      </c>
      <c r="E251" s="30">
        <v>1</v>
      </c>
      <c r="F251" s="30" t="s">
        <v>24</v>
      </c>
      <c r="G251" s="30">
        <v>1</v>
      </c>
      <c r="H251" s="30" t="s">
        <v>32</v>
      </c>
      <c r="I251" s="45" t="s">
        <v>33</v>
      </c>
      <c r="J251" s="71"/>
      <c r="K251" s="72"/>
      <c r="L251" s="73">
        <v>44624</v>
      </c>
      <c r="M251" s="30"/>
      <c r="N251" s="74">
        <v>74</v>
      </c>
      <c r="O251" s="30">
        <v>1</v>
      </c>
      <c r="P251" s="81"/>
      <c r="Q251" s="34" t="s">
        <v>27</v>
      </c>
      <c r="R251" s="75"/>
      <c r="S251" s="76"/>
      <c r="T251" s="77">
        <v>118.64</v>
      </c>
      <c r="U251" s="30">
        <f t="shared" si="17"/>
        <v>118.64</v>
      </c>
      <c r="V251" s="30">
        <f t="shared" si="15"/>
        <v>118.64</v>
      </c>
      <c r="W251" s="30">
        <f t="shared" si="16"/>
        <v>21.3552</v>
      </c>
      <c r="X251" s="79">
        <f t="shared" si="14"/>
        <v>139.99520000000001</v>
      </c>
      <c r="Y251" s="44"/>
    </row>
    <row r="252" spans="1:25" ht="93.6">
      <c r="A252" s="73">
        <v>44623</v>
      </c>
      <c r="B252" s="30" t="s">
        <v>392</v>
      </c>
      <c r="C252" s="69" t="s">
        <v>21</v>
      </c>
      <c r="D252" s="70" t="s">
        <v>22</v>
      </c>
      <c r="E252" s="30">
        <v>1</v>
      </c>
      <c r="F252" s="30" t="s">
        <v>24</v>
      </c>
      <c r="G252" s="30">
        <v>1</v>
      </c>
      <c r="H252" s="30" t="s">
        <v>23</v>
      </c>
      <c r="I252" s="45" t="s">
        <v>190</v>
      </c>
      <c r="J252" s="71"/>
      <c r="K252" s="72"/>
      <c r="L252" s="73">
        <v>44624</v>
      </c>
      <c r="M252" s="30"/>
      <c r="N252" s="74">
        <v>74</v>
      </c>
      <c r="O252" s="30">
        <v>1</v>
      </c>
      <c r="P252" s="81"/>
      <c r="Q252" s="34" t="s">
        <v>27</v>
      </c>
      <c r="R252" s="75"/>
      <c r="S252" s="76"/>
      <c r="T252" s="77">
        <v>25</v>
      </c>
      <c r="U252" s="30">
        <f t="shared" si="17"/>
        <v>25</v>
      </c>
      <c r="V252" s="30">
        <f t="shared" si="15"/>
        <v>25</v>
      </c>
      <c r="W252" s="30">
        <f t="shared" si="16"/>
        <v>4.5</v>
      </c>
      <c r="X252" s="79">
        <f t="shared" si="14"/>
        <v>29.5</v>
      </c>
      <c r="Y252" s="44"/>
    </row>
    <row r="253" spans="1:25" ht="93.6">
      <c r="A253" s="73">
        <v>44623</v>
      </c>
      <c r="B253" s="30" t="s">
        <v>392</v>
      </c>
      <c r="C253" s="69" t="s">
        <v>21</v>
      </c>
      <c r="D253" s="70" t="s">
        <v>22</v>
      </c>
      <c r="E253" s="30">
        <v>1</v>
      </c>
      <c r="F253" s="30" t="s">
        <v>24</v>
      </c>
      <c r="G253" s="30">
        <v>1</v>
      </c>
      <c r="H253" s="30" t="s">
        <v>23</v>
      </c>
      <c r="I253" s="45" t="s">
        <v>25</v>
      </c>
      <c r="J253" s="71"/>
      <c r="K253" s="72"/>
      <c r="L253" s="73">
        <v>44624</v>
      </c>
      <c r="M253" s="30"/>
      <c r="N253" s="74">
        <v>74</v>
      </c>
      <c r="O253" s="30">
        <v>1</v>
      </c>
      <c r="P253" s="81"/>
      <c r="Q253" s="34" t="s">
        <v>27</v>
      </c>
      <c r="R253" s="75"/>
      <c r="S253" s="76"/>
      <c r="T253" s="77">
        <v>21.19</v>
      </c>
      <c r="U253" s="30">
        <f t="shared" si="17"/>
        <v>21.19</v>
      </c>
      <c r="V253" s="30">
        <f t="shared" si="15"/>
        <v>21.19</v>
      </c>
      <c r="W253" s="30">
        <f t="shared" si="16"/>
        <v>3.8142</v>
      </c>
      <c r="X253" s="79">
        <f t="shared" si="14"/>
        <v>25.004200000000001</v>
      </c>
      <c r="Y253" s="44"/>
    </row>
    <row r="254" spans="1:25" ht="124.8">
      <c r="A254" s="73">
        <v>44623</v>
      </c>
      <c r="B254" s="30" t="s">
        <v>392</v>
      </c>
      <c r="C254" s="69" t="s">
        <v>21</v>
      </c>
      <c r="D254" s="70" t="s">
        <v>22</v>
      </c>
      <c r="E254" s="30">
        <v>1</v>
      </c>
      <c r="F254" s="30" t="s">
        <v>24</v>
      </c>
      <c r="G254" s="30">
        <v>1</v>
      </c>
      <c r="H254" s="30" t="s">
        <v>108</v>
      </c>
      <c r="I254" s="45" t="s">
        <v>191</v>
      </c>
      <c r="J254" s="71"/>
      <c r="K254" s="72"/>
      <c r="L254" s="73">
        <v>44624</v>
      </c>
      <c r="M254" s="30"/>
      <c r="N254" s="74">
        <v>74</v>
      </c>
      <c r="O254" s="30">
        <v>1</v>
      </c>
      <c r="P254" s="81"/>
      <c r="Q254" s="34" t="s">
        <v>27</v>
      </c>
      <c r="R254" s="75"/>
      <c r="S254" s="76"/>
      <c r="T254" s="77">
        <v>29.66</v>
      </c>
      <c r="U254" s="30">
        <f t="shared" si="17"/>
        <v>29.66</v>
      </c>
      <c r="V254" s="30">
        <f t="shared" si="15"/>
        <v>29.66</v>
      </c>
      <c r="W254" s="30">
        <f t="shared" si="16"/>
        <v>5.3388</v>
      </c>
      <c r="X254" s="79">
        <f t="shared" si="14"/>
        <v>34.998800000000003</v>
      </c>
      <c r="Y254" s="44"/>
    </row>
    <row r="255" spans="1:25" ht="31.2">
      <c r="A255" s="73">
        <v>44623</v>
      </c>
      <c r="B255" s="30" t="s">
        <v>392</v>
      </c>
      <c r="C255" s="69" t="s">
        <v>21</v>
      </c>
      <c r="D255" s="70" t="s">
        <v>22</v>
      </c>
      <c r="E255" s="30">
        <v>1</v>
      </c>
      <c r="F255" s="30" t="s">
        <v>24</v>
      </c>
      <c r="G255" s="30">
        <v>20</v>
      </c>
      <c r="H255" s="30" t="s">
        <v>28</v>
      </c>
      <c r="I255" s="45" t="s">
        <v>57</v>
      </c>
      <c r="J255" s="71"/>
      <c r="K255" s="72"/>
      <c r="L255" s="73">
        <v>44624</v>
      </c>
      <c r="M255" s="30"/>
      <c r="N255" s="74">
        <v>74</v>
      </c>
      <c r="O255" s="30">
        <v>1</v>
      </c>
      <c r="P255" s="81"/>
      <c r="Q255" s="34" t="s">
        <v>27</v>
      </c>
      <c r="R255" s="75">
        <v>8.4700000000000006</v>
      </c>
      <c r="S255" s="76"/>
      <c r="T255" s="77">
        <v>76.27</v>
      </c>
      <c r="U255" s="30">
        <f t="shared" si="17"/>
        <v>67.8</v>
      </c>
      <c r="V255" s="30">
        <f t="shared" si="15"/>
        <v>67.8</v>
      </c>
      <c r="W255" s="30">
        <f t="shared" si="16"/>
        <v>12.203999999999999</v>
      </c>
      <c r="X255" s="79">
        <f t="shared" si="14"/>
        <v>80.003999999999991</v>
      </c>
      <c r="Y255" s="44"/>
    </row>
    <row r="256" spans="1:25" ht="31.2">
      <c r="A256" s="73">
        <v>44623</v>
      </c>
      <c r="B256" s="30" t="s">
        <v>392</v>
      </c>
      <c r="C256" s="69" t="s">
        <v>21</v>
      </c>
      <c r="D256" s="70" t="s">
        <v>22</v>
      </c>
      <c r="E256" s="30">
        <v>1</v>
      </c>
      <c r="F256" s="30" t="s">
        <v>24</v>
      </c>
      <c r="G256" s="30">
        <v>20</v>
      </c>
      <c r="H256" s="30" t="s">
        <v>28</v>
      </c>
      <c r="I256" s="45" t="s">
        <v>52</v>
      </c>
      <c r="J256" s="71"/>
      <c r="K256" s="72"/>
      <c r="L256" s="73">
        <v>44624</v>
      </c>
      <c r="M256" s="30"/>
      <c r="N256" s="74">
        <v>74</v>
      </c>
      <c r="O256" s="30">
        <v>1</v>
      </c>
      <c r="P256" s="81"/>
      <c r="Q256" s="34" t="s">
        <v>27</v>
      </c>
      <c r="R256" s="75">
        <v>8.4700000000000006</v>
      </c>
      <c r="S256" s="76"/>
      <c r="T256" s="77">
        <v>76.27</v>
      </c>
      <c r="U256" s="30">
        <f t="shared" si="17"/>
        <v>67.8</v>
      </c>
      <c r="V256" s="30">
        <f t="shared" si="15"/>
        <v>67.8</v>
      </c>
      <c r="W256" s="30">
        <f t="shared" si="16"/>
        <v>12.203999999999999</v>
      </c>
      <c r="X256" s="79">
        <f t="shared" si="14"/>
        <v>80.003999999999991</v>
      </c>
      <c r="Y256" s="44"/>
    </row>
    <row r="257" spans="1:25" ht="31.2">
      <c r="A257" s="73">
        <v>44623</v>
      </c>
      <c r="B257" s="30" t="s">
        <v>293</v>
      </c>
      <c r="C257" s="69" t="s">
        <v>21</v>
      </c>
      <c r="D257" s="70" t="s">
        <v>22</v>
      </c>
      <c r="E257" s="30">
        <v>1</v>
      </c>
      <c r="F257" s="30" t="s">
        <v>24</v>
      </c>
      <c r="G257" s="30">
        <v>4</v>
      </c>
      <c r="H257" s="30" t="s">
        <v>28</v>
      </c>
      <c r="I257" s="45" t="s">
        <v>82</v>
      </c>
      <c r="J257" s="71"/>
      <c r="K257" s="72"/>
      <c r="L257" s="73">
        <v>44623</v>
      </c>
      <c r="M257" s="30"/>
      <c r="N257" s="74">
        <v>75</v>
      </c>
      <c r="O257" s="30">
        <v>1</v>
      </c>
      <c r="P257" s="81"/>
      <c r="Q257" s="34" t="s">
        <v>27</v>
      </c>
      <c r="R257" s="75"/>
      <c r="S257" s="76"/>
      <c r="T257" s="77">
        <v>38.14</v>
      </c>
      <c r="U257" s="30">
        <f t="shared" si="17"/>
        <v>38.14</v>
      </c>
      <c r="V257" s="30">
        <f t="shared" si="15"/>
        <v>38.14</v>
      </c>
      <c r="W257" s="30">
        <f t="shared" si="16"/>
        <v>6.8651999999999997</v>
      </c>
      <c r="X257" s="79">
        <f t="shared" si="14"/>
        <v>45.005200000000002</v>
      </c>
      <c r="Y257" s="44"/>
    </row>
    <row r="258" spans="1:25" ht="31.2">
      <c r="A258" s="73">
        <v>44625</v>
      </c>
      <c r="B258" s="30" t="s">
        <v>393</v>
      </c>
      <c r="C258" s="69" t="s">
        <v>21</v>
      </c>
      <c r="D258" s="70" t="s">
        <v>22</v>
      </c>
      <c r="E258" s="30">
        <v>1</v>
      </c>
      <c r="F258" s="30" t="s">
        <v>24</v>
      </c>
      <c r="G258" s="30">
        <v>0.5</v>
      </c>
      <c r="H258" s="30" t="s">
        <v>28</v>
      </c>
      <c r="I258" s="45" t="s">
        <v>82</v>
      </c>
      <c r="J258" s="71"/>
      <c r="K258" s="72"/>
      <c r="L258" s="73">
        <v>44625</v>
      </c>
      <c r="M258" s="30"/>
      <c r="N258" s="74" t="s">
        <v>192</v>
      </c>
      <c r="O258" s="30">
        <v>1</v>
      </c>
      <c r="P258" s="81"/>
      <c r="Q258" s="34" t="s">
        <v>27</v>
      </c>
      <c r="R258" s="75"/>
      <c r="S258" s="76"/>
      <c r="T258" s="77">
        <v>6.78</v>
      </c>
      <c r="U258" s="30">
        <f t="shared" si="17"/>
        <v>6.78</v>
      </c>
      <c r="V258" s="30">
        <f t="shared" si="15"/>
        <v>6.78</v>
      </c>
      <c r="W258" s="30">
        <f t="shared" si="16"/>
        <v>1.2203999999999999</v>
      </c>
      <c r="X258" s="79">
        <f t="shared" si="14"/>
        <v>8.0004000000000008</v>
      </c>
      <c r="Y258" s="44"/>
    </row>
    <row r="259" spans="1:25" ht="46.8">
      <c r="A259" s="73">
        <v>44625</v>
      </c>
      <c r="B259" s="30" t="s">
        <v>393</v>
      </c>
      <c r="C259" s="69" t="s">
        <v>21</v>
      </c>
      <c r="D259" s="70" t="s">
        <v>22</v>
      </c>
      <c r="E259" s="30">
        <v>1</v>
      </c>
      <c r="F259" s="30" t="s">
        <v>24</v>
      </c>
      <c r="G259" s="30">
        <v>4</v>
      </c>
      <c r="H259" s="30" t="s">
        <v>28</v>
      </c>
      <c r="I259" s="45" t="s">
        <v>183</v>
      </c>
      <c r="J259" s="71"/>
      <c r="K259" s="80"/>
      <c r="L259" s="73">
        <v>44625</v>
      </c>
      <c r="M259" s="30"/>
      <c r="N259" s="74" t="s">
        <v>192</v>
      </c>
      <c r="O259" s="30">
        <v>1</v>
      </c>
      <c r="P259" s="81"/>
      <c r="Q259" s="34" t="s">
        <v>27</v>
      </c>
      <c r="R259" s="75"/>
      <c r="S259" s="76"/>
      <c r="T259" s="77">
        <v>16.53</v>
      </c>
      <c r="U259" s="30">
        <f t="shared" si="17"/>
        <v>16.53</v>
      </c>
      <c r="V259" s="30">
        <f t="shared" si="15"/>
        <v>16.53</v>
      </c>
      <c r="W259" s="30">
        <f t="shared" si="16"/>
        <v>2.9754</v>
      </c>
      <c r="X259" s="79">
        <f t="shared" si="14"/>
        <v>19.505400000000002</v>
      </c>
      <c r="Y259" s="44"/>
    </row>
    <row r="260" spans="1:25" ht="31.2">
      <c r="A260" s="73">
        <v>44625</v>
      </c>
      <c r="B260" s="30" t="s">
        <v>394</v>
      </c>
      <c r="C260" s="69" t="s">
        <v>21</v>
      </c>
      <c r="D260" s="70" t="s">
        <v>22</v>
      </c>
      <c r="E260" s="30">
        <v>1</v>
      </c>
      <c r="F260" s="30" t="s">
        <v>24</v>
      </c>
      <c r="G260" s="30">
        <v>4</v>
      </c>
      <c r="H260" s="30" t="s">
        <v>28</v>
      </c>
      <c r="I260" s="45" t="s">
        <v>52</v>
      </c>
      <c r="J260" s="71"/>
      <c r="K260" s="80"/>
      <c r="L260" s="73">
        <v>44625</v>
      </c>
      <c r="M260" s="30"/>
      <c r="N260" s="74" t="s">
        <v>193</v>
      </c>
      <c r="O260" s="30">
        <v>1</v>
      </c>
      <c r="P260" s="81"/>
      <c r="Q260" s="34" t="s">
        <v>27</v>
      </c>
      <c r="R260" s="75"/>
      <c r="S260" s="76"/>
      <c r="T260" s="77">
        <v>16.95</v>
      </c>
      <c r="U260" s="30">
        <f t="shared" si="17"/>
        <v>16.95</v>
      </c>
      <c r="V260" s="30">
        <f t="shared" si="15"/>
        <v>16.95</v>
      </c>
      <c r="W260" s="30">
        <f t="shared" si="16"/>
        <v>3.0509999999999997</v>
      </c>
      <c r="X260" s="79">
        <f t="shared" si="14"/>
        <v>20.000999999999998</v>
      </c>
      <c r="Y260" s="44"/>
    </row>
    <row r="261" spans="1:25" ht="46.8">
      <c r="A261" s="73">
        <v>44625</v>
      </c>
      <c r="B261" s="30" t="s">
        <v>395</v>
      </c>
      <c r="C261" s="69" t="s">
        <v>21</v>
      </c>
      <c r="D261" s="70" t="s">
        <v>22</v>
      </c>
      <c r="E261" s="30">
        <v>1</v>
      </c>
      <c r="F261" s="30" t="s">
        <v>24</v>
      </c>
      <c r="G261" s="30">
        <v>1</v>
      </c>
      <c r="H261" s="30" t="s">
        <v>28</v>
      </c>
      <c r="I261" s="45" t="s">
        <v>142</v>
      </c>
      <c r="J261" s="71"/>
      <c r="K261" s="80"/>
      <c r="L261" s="73">
        <v>44625</v>
      </c>
      <c r="M261" s="30"/>
      <c r="N261" s="74" t="s">
        <v>194</v>
      </c>
      <c r="O261" s="30">
        <v>1</v>
      </c>
      <c r="P261" s="81"/>
      <c r="Q261" s="34" t="s">
        <v>27</v>
      </c>
      <c r="R261" s="75"/>
      <c r="S261" s="76"/>
      <c r="T261" s="77">
        <v>8.0500000000000007</v>
      </c>
      <c r="U261" s="30">
        <f t="shared" si="17"/>
        <v>8.0500000000000007</v>
      </c>
      <c r="V261" s="30">
        <f t="shared" si="15"/>
        <v>8.0500000000000007</v>
      </c>
      <c r="W261" s="30">
        <f t="shared" si="16"/>
        <v>1.4490000000000001</v>
      </c>
      <c r="X261" s="79">
        <f t="shared" si="14"/>
        <v>9.4990000000000006</v>
      </c>
      <c r="Y261" s="44"/>
    </row>
    <row r="262" spans="1:25" ht="15.6">
      <c r="A262" s="73">
        <v>44625</v>
      </c>
      <c r="B262" s="30" t="s">
        <v>395</v>
      </c>
      <c r="C262" s="69" t="s">
        <v>21</v>
      </c>
      <c r="D262" s="70" t="s">
        <v>22</v>
      </c>
      <c r="E262" s="30">
        <v>1</v>
      </c>
      <c r="F262" s="30" t="s">
        <v>24</v>
      </c>
      <c r="G262" s="30">
        <v>1</v>
      </c>
      <c r="H262" s="30" t="s">
        <v>28</v>
      </c>
      <c r="I262" s="45" t="s">
        <v>114</v>
      </c>
      <c r="J262" s="71"/>
      <c r="K262" s="80"/>
      <c r="L262" s="73">
        <v>44625</v>
      </c>
      <c r="M262" s="30"/>
      <c r="N262" s="74" t="s">
        <v>194</v>
      </c>
      <c r="O262" s="30">
        <v>1</v>
      </c>
      <c r="P262" s="81"/>
      <c r="Q262" s="34" t="s">
        <v>27</v>
      </c>
      <c r="R262" s="75"/>
      <c r="S262" s="76"/>
      <c r="T262" s="77">
        <v>9.32</v>
      </c>
      <c r="U262" s="30">
        <f t="shared" si="17"/>
        <v>9.32</v>
      </c>
      <c r="V262" s="30">
        <f t="shared" si="15"/>
        <v>9.32</v>
      </c>
      <c r="W262" s="30">
        <f t="shared" si="16"/>
        <v>1.6776</v>
      </c>
      <c r="X262" s="79">
        <f t="shared" ref="X262:X325" si="18">+W262+V262</f>
        <v>10.9976</v>
      </c>
      <c r="Y262" s="44"/>
    </row>
    <row r="263" spans="1:25" ht="15.6">
      <c r="A263" s="73">
        <v>44625</v>
      </c>
      <c r="B263" s="30" t="s">
        <v>395</v>
      </c>
      <c r="C263" s="69" t="s">
        <v>21</v>
      </c>
      <c r="D263" s="70" t="s">
        <v>22</v>
      </c>
      <c r="E263" s="30">
        <v>1</v>
      </c>
      <c r="F263" s="30" t="s">
        <v>24</v>
      </c>
      <c r="G263" s="30">
        <v>1</v>
      </c>
      <c r="H263" s="30" t="s">
        <v>28</v>
      </c>
      <c r="I263" s="45" t="s">
        <v>35</v>
      </c>
      <c r="J263" s="71"/>
      <c r="K263" s="80"/>
      <c r="L263" s="73">
        <v>44625</v>
      </c>
      <c r="M263" s="30"/>
      <c r="N263" s="74" t="s">
        <v>194</v>
      </c>
      <c r="O263" s="30">
        <v>1</v>
      </c>
      <c r="P263" s="81"/>
      <c r="Q263" s="34" t="s">
        <v>27</v>
      </c>
      <c r="R263" s="75"/>
      <c r="S263" s="76"/>
      <c r="T263" s="77">
        <v>8.0500000000000007</v>
      </c>
      <c r="U263" s="30">
        <f t="shared" si="17"/>
        <v>8.0500000000000007</v>
      </c>
      <c r="V263" s="30">
        <f t="shared" si="15"/>
        <v>8.0500000000000007</v>
      </c>
      <c r="W263" s="30">
        <f t="shared" si="16"/>
        <v>1.4490000000000001</v>
      </c>
      <c r="X263" s="79">
        <f t="shared" si="18"/>
        <v>9.4990000000000006</v>
      </c>
      <c r="Y263" s="44"/>
    </row>
    <row r="264" spans="1:25" ht="31.2">
      <c r="A264" s="73">
        <v>44625</v>
      </c>
      <c r="B264" s="30" t="s">
        <v>395</v>
      </c>
      <c r="C264" s="69" t="s">
        <v>21</v>
      </c>
      <c r="D264" s="70" t="s">
        <v>22</v>
      </c>
      <c r="E264" s="30">
        <v>1</v>
      </c>
      <c r="F264" s="30" t="s">
        <v>24</v>
      </c>
      <c r="G264" s="30">
        <v>4</v>
      </c>
      <c r="H264" s="30" t="s">
        <v>28</v>
      </c>
      <c r="I264" s="45" t="s">
        <v>40</v>
      </c>
      <c r="J264" s="71"/>
      <c r="K264" s="80"/>
      <c r="L264" s="73">
        <v>44625</v>
      </c>
      <c r="M264" s="30"/>
      <c r="N264" s="74" t="s">
        <v>194</v>
      </c>
      <c r="O264" s="30">
        <v>1</v>
      </c>
      <c r="P264" s="81"/>
      <c r="Q264" s="34" t="s">
        <v>27</v>
      </c>
      <c r="R264" s="75"/>
      <c r="S264" s="76"/>
      <c r="T264" s="77">
        <v>16.95</v>
      </c>
      <c r="U264" s="30">
        <f t="shared" si="17"/>
        <v>16.95</v>
      </c>
      <c r="V264" s="30">
        <f t="shared" si="15"/>
        <v>16.95</v>
      </c>
      <c r="W264" s="30">
        <f t="shared" si="16"/>
        <v>3.0509999999999997</v>
      </c>
      <c r="X264" s="79">
        <f t="shared" si="18"/>
        <v>20.000999999999998</v>
      </c>
      <c r="Y264" s="44"/>
    </row>
    <row r="265" spans="1:25" ht="31.2">
      <c r="A265" s="73">
        <v>44625</v>
      </c>
      <c r="B265" s="30" t="s">
        <v>395</v>
      </c>
      <c r="C265" s="69" t="s">
        <v>21</v>
      </c>
      <c r="D265" s="70" t="s">
        <v>22</v>
      </c>
      <c r="E265" s="30">
        <v>1</v>
      </c>
      <c r="F265" s="30" t="s">
        <v>24</v>
      </c>
      <c r="G265" s="30">
        <v>4</v>
      </c>
      <c r="H265" s="30" t="s">
        <v>28</v>
      </c>
      <c r="I265" s="45" t="s">
        <v>57</v>
      </c>
      <c r="J265" s="71"/>
      <c r="K265" s="80"/>
      <c r="L265" s="73">
        <v>44625</v>
      </c>
      <c r="M265" s="30"/>
      <c r="N265" s="74" t="s">
        <v>194</v>
      </c>
      <c r="O265" s="30">
        <v>1</v>
      </c>
      <c r="P265" s="81"/>
      <c r="Q265" s="34" t="s">
        <v>27</v>
      </c>
      <c r="R265" s="75"/>
      <c r="S265" s="76"/>
      <c r="T265" s="77">
        <v>16.95</v>
      </c>
      <c r="U265" s="30">
        <f t="shared" si="17"/>
        <v>16.95</v>
      </c>
      <c r="V265" s="30">
        <f t="shared" si="15"/>
        <v>16.95</v>
      </c>
      <c r="W265" s="30">
        <f t="shared" si="16"/>
        <v>3.0509999999999997</v>
      </c>
      <c r="X265" s="79">
        <f t="shared" si="18"/>
        <v>20.000999999999998</v>
      </c>
      <c r="Y265" s="44"/>
    </row>
    <row r="266" spans="1:25" ht="31.2">
      <c r="A266" s="73">
        <v>44627</v>
      </c>
      <c r="B266" s="30" t="s">
        <v>396</v>
      </c>
      <c r="C266" s="69" t="s">
        <v>21</v>
      </c>
      <c r="D266" s="70" t="s">
        <v>22</v>
      </c>
      <c r="E266" s="30">
        <v>1</v>
      </c>
      <c r="F266" s="30" t="s">
        <v>24</v>
      </c>
      <c r="G266" s="30">
        <v>0.5</v>
      </c>
      <c r="H266" s="30" t="s">
        <v>28</v>
      </c>
      <c r="I266" s="45" t="s">
        <v>127</v>
      </c>
      <c r="J266" s="71"/>
      <c r="K266" s="80"/>
      <c r="L266" s="73">
        <v>44627</v>
      </c>
      <c r="M266" s="30"/>
      <c r="N266" s="74" t="s">
        <v>195</v>
      </c>
      <c r="O266" s="30">
        <v>1</v>
      </c>
      <c r="P266" s="81"/>
      <c r="Q266" s="34" t="s">
        <v>27</v>
      </c>
      <c r="R266" s="75"/>
      <c r="S266" s="76"/>
      <c r="T266" s="77">
        <v>6.78</v>
      </c>
      <c r="U266" s="30">
        <f t="shared" si="17"/>
        <v>6.78</v>
      </c>
      <c r="V266" s="30">
        <f t="shared" si="15"/>
        <v>6.78</v>
      </c>
      <c r="W266" s="30">
        <f t="shared" si="16"/>
        <v>1.2203999999999999</v>
      </c>
      <c r="X266" s="79">
        <f t="shared" si="18"/>
        <v>8.0004000000000008</v>
      </c>
      <c r="Y266" s="44"/>
    </row>
    <row r="267" spans="1:25" ht="31.2">
      <c r="A267" s="73">
        <v>44627</v>
      </c>
      <c r="B267" s="30" t="s">
        <v>396</v>
      </c>
      <c r="C267" s="69" t="s">
        <v>21</v>
      </c>
      <c r="D267" s="70" t="s">
        <v>22</v>
      </c>
      <c r="E267" s="30">
        <v>1</v>
      </c>
      <c r="F267" s="30" t="s">
        <v>24</v>
      </c>
      <c r="G267" s="30">
        <v>1</v>
      </c>
      <c r="H267" s="30" t="s">
        <v>28</v>
      </c>
      <c r="I267" s="45" t="s">
        <v>82</v>
      </c>
      <c r="J267" s="71"/>
      <c r="K267" s="80"/>
      <c r="L267" s="73">
        <v>44627</v>
      </c>
      <c r="M267" s="30"/>
      <c r="N267" s="74" t="s">
        <v>195</v>
      </c>
      <c r="O267" s="30">
        <v>1</v>
      </c>
      <c r="P267" s="81"/>
      <c r="Q267" s="34" t="s">
        <v>27</v>
      </c>
      <c r="R267" s="75"/>
      <c r="S267" s="76"/>
      <c r="T267" s="77">
        <v>10.17</v>
      </c>
      <c r="U267" s="30">
        <f t="shared" si="17"/>
        <v>10.17</v>
      </c>
      <c r="V267" s="30">
        <f t="shared" ref="V267:V330" si="19">+U267</f>
        <v>10.17</v>
      </c>
      <c r="W267" s="30">
        <f t="shared" ref="W267:W330" si="20">+V267*0.18</f>
        <v>1.8306</v>
      </c>
      <c r="X267" s="79">
        <f t="shared" si="18"/>
        <v>12.0006</v>
      </c>
      <c r="Y267" s="44"/>
    </row>
    <row r="268" spans="1:25" ht="62.4">
      <c r="A268" s="73">
        <v>44627</v>
      </c>
      <c r="B268" s="30" t="s">
        <v>397</v>
      </c>
      <c r="C268" s="69" t="s">
        <v>21</v>
      </c>
      <c r="D268" s="70" t="s">
        <v>22</v>
      </c>
      <c r="E268" s="30">
        <v>1</v>
      </c>
      <c r="F268" s="30" t="s">
        <v>24</v>
      </c>
      <c r="G268" s="30">
        <v>1</v>
      </c>
      <c r="H268" s="30" t="s">
        <v>32</v>
      </c>
      <c r="I268" s="45" t="s">
        <v>196</v>
      </c>
      <c r="J268" s="71"/>
      <c r="K268" s="80"/>
      <c r="L268" s="73">
        <v>44627</v>
      </c>
      <c r="M268" s="30"/>
      <c r="N268" s="74" t="s">
        <v>197</v>
      </c>
      <c r="O268" s="30">
        <v>1</v>
      </c>
      <c r="P268" s="81"/>
      <c r="Q268" s="34" t="s">
        <v>27</v>
      </c>
      <c r="R268" s="75"/>
      <c r="S268" s="76"/>
      <c r="T268" s="77">
        <v>77.97</v>
      </c>
      <c r="U268" s="30">
        <f t="shared" si="17"/>
        <v>77.97</v>
      </c>
      <c r="V268" s="30">
        <f t="shared" si="19"/>
        <v>77.97</v>
      </c>
      <c r="W268" s="30">
        <f t="shared" si="20"/>
        <v>14.034599999999999</v>
      </c>
      <c r="X268" s="79">
        <f t="shared" si="18"/>
        <v>92.004599999999996</v>
      </c>
      <c r="Y268" s="44"/>
    </row>
    <row r="269" spans="1:25" ht="78">
      <c r="A269" s="73">
        <v>44627</v>
      </c>
      <c r="B269" s="30" t="s">
        <v>397</v>
      </c>
      <c r="C269" s="69" t="s">
        <v>21</v>
      </c>
      <c r="D269" s="70" t="s">
        <v>22</v>
      </c>
      <c r="E269" s="30">
        <v>1</v>
      </c>
      <c r="F269" s="30" t="s">
        <v>24</v>
      </c>
      <c r="G269" s="30">
        <v>1</v>
      </c>
      <c r="H269" s="30" t="s">
        <v>32</v>
      </c>
      <c r="I269" s="45" t="s">
        <v>198</v>
      </c>
      <c r="J269" s="71"/>
      <c r="K269" s="80"/>
      <c r="L269" s="73">
        <v>44627</v>
      </c>
      <c r="M269" s="30"/>
      <c r="N269" s="74" t="s">
        <v>197</v>
      </c>
      <c r="O269" s="30">
        <v>1</v>
      </c>
      <c r="P269" s="81"/>
      <c r="Q269" s="34" t="s">
        <v>27</v>
      </c>
      <c r="R269" s="75"/>
      <c r="S269" s="76"/>
      <c r="T269" s="77">
        <v>27.97</v>
      </c>
      <c r="U269" s="30">
        <f t="shared" si="17"/>
        <v>27.97</v>
      </c>
      <c r="V269" s="30">
        <f t="shared" si="19"/>
        <v>27.97</v>
      </c>
      <c r="W269" s="30">
        <f t="shared" si="20"/>
        <v>5.0345999999999993</v>
      </c>
      <c r="X269" s="79">
        <f t="shared" si="18"/>
        <v>33.004599999999996</v>
      </c>
      <c r="Y269" s="44"/>
    </row>
    <row r="270" spans="1:25" ht="78">
      <c r="A270" s="73">
        <v>44627</v>
      </c>
      <c r="B270" s="30" t="s">
        <v>397</v>
      </c>
      <c r="C270" s="69" t="s">
        <v>21</v>
      </c>
      <c r="D270" s="70" t="s">
        <v>22</v>
      </c>
      <c r="E270" s="30">
        <v>1</v>
      </c>
      <c r="F270" s="30" t="s">
        <v>24</v>
      </c>
      <c r="G270" s="30">
        <v>1</v>
      </c>
      <c r="H270" s="30" t="s">
        <v>32</v>
      </c>
      <c r="I270" s="45" t="s">
        <v>199</v>
      </c>
      <c r="J270" s="71"/>
      <c r="K270" s="80"/>
      <c r="L270" s="73">
        <v>44627</v>
      </c>
      <c r="M270" s="30"/>
      <c r="N270" s="74" t="s">
        <v>197</v>
      </c>
      <c r="O270" s="30">
        <v>1</v>
      </c>
      <c r="P270" s="81"/>
      <c r="Q270" s="34" t="s">
        <v>27</v>
      </c>
      <c r="R270" s="75"/>
      <c r="S270" s="76"/>
      <c r="T270" s="77">
        <v>32.200000000000003</v>
      </c>
      <c r="U270" s="30">
        <f t="shared" si="17"/>
        <v>32.200000000000003</v>
      </c>
      <c r="V270" s="30">
        <f t="shared" si="19"/>
        <v>32.200000000000003</v>
      </c>
      <c r="W270" s="30">
        <f t="shared" si="20"/>
        <v>5.7960000000000003</v>
      </c>
      <c r="X270" s="79">
        <f t="shared" si="18"/>
        <v>37.996000000000002</v>
      </c>
      <c r="Y270" s="44"/>
    </row>
    <row r="271" spans="1:25" ht="31.2">
      <c r="A271" s="73">
        <v>44628</v>
      </c>
      <c r="B271" s="30" t="s">
        <v>398</v>
      </c>
      <c r="C271" s="69" t="s">
        <v>21</v>
      </c>
      <c r="D271" s="70" t="s">
        <v>22</v>
      </c>
      <c r="E271" s="30">
        <v>1</v>
      </c>
      <c r="F271" s="30" t="s">
        <v>24</v>
      </c>
      <c r="G271" s="30">
        <v>1</v>
      </c>
      <c r="H271" s="30" t="s">
        <v>28</v>
      </c>
      <c r="I271" s="45" t="s">
        <v>49</v>
      </c>
      <c r="J271" s="71"/>
      <c r="K271" s="80"/>
      <c r="L271" s="73">
        <v>44628</v>
      </c>
      <c r="M271" s="30"/>
      <c r="N271" s="74" t="s">
        <v>200</v>
      </c>
      <c r="O271" s="30">
        <v>1</v>
      </c>
      <c r="P271" s="81"/>
      <c r="Q271" s="34" t="s">
        <v>27</v>
      </c>
      <c r="R271" s="75"/>
      <c r="S271" s="76"/>
      <c r="T271" s="77">
        <v>21.19</v>
      </c>
      <c r="U271" s="30">
        <f t="shared" si="17"/>
        <v>21.19</v>
      </c>
      <c r="V271" s="30">
        <f t="shared" si="19"/>
        <v>21.19</v>
      </c>
      <c r="W271" s="30">
        <f t="shared" si="20"/>
        <v>3.8142</v>
      </c>
      <c r="X271" s="79">
        <f t="shared" si="18"/>
        <v>25.004200000000001</v>
      </c>
      <c r="Y271" s="44"/>
    </row>
    <row r="272" spans="1:25" ht="31.2">
      <c r="A272" s="73">
        <v>44628</v>
      </c>
      <c r="B272" s="30" t="s">
        <v>398</v>
      </c>
      <c r="C272" s="69" t="s">
        <v>21</v>
      </c>
      <c r="D272" s="70" t="s">
        <v>22</v>
      </c>
      <c r="E272" s="30">
        <v>1</v>
      </c>
      <c r="F272" s="30" t="s">
        <v>24</v>
      </c>
      <c r="G272" s="30">
        <v>1</v>
      </c>
      <c r="H272" s="30" t="s">
        <v>28</v>
      </c>
      <c r="I272" s="45" t="s">
        <v>48</v>
      </c>
      <c r="J272" s="71"/>
      <c r="K272" s="80"/>
      <c r="L272" s="73">
        <v>44628</v>
      </c>
      <c r="M272" s="30"/>
      <c r="N272" s="74" t="s">
        <v>200</v>
      </c>
      <c r="O272" s="30">
        <v>1</v>
      </c>
      <c r="P272" s="81"/>
      <c r="Q272" s="34" t="s">
        <v>27</v>
      </c>
      <c r="R272" s="75"/>
      <c r="S272" s="76"/>
      <c r="T272" s="77">
        <v>21.19</v>
      </c>
      <c r="U272" s="30">
        <f t="shared" si="17"/>
        <v>21.19</v>
      </c>
      <c r="V272" s="30">
        <f t="shared" si="19"/>
        <v>21.19</v>
      </c>
      <c r="W272" s="30">
        <f t="shared" si="20"/>
        <v>3.8142</v>
      </c>
      <c r="X272" s="79">
        <f t="shared" si="18"/>
        <v>25.004200000000001</v>
      </c>
      <c r="Y272" s="44"/>
    </row>
    <row r="273" spans="1:25" ht="31.2">
      <c r="A273" s="73">
        <v>44630</v>
      </c>
      <c r="B273" s="30" t="s">
        <v>326</v>
      </c>
      <c r="C273" s="69" t="s">
        <v>21</v>
      </c>
      <c r="D273" s="70" t="s">
        <v>22</v>
      </c>
      <c r="E273" s="30">
        <v>2</v>
      </c>
      <c r="F273" s="30" t="s">
        <v>24</v>
      </c>
      <c r="G273" s="30">
        <v>4</v>
      </c>
      <c r="H273" s="30" t="s">
        <v>28</v>
      </c>
      <c r="I273" s="45" t="s">
        <v>88</v>
      </c>
      <c r="J273" s="71"/>
      <c r="K273" s="80"/>
      <c r="L273" s="73">
        <v>44630</v>
      </c>
      <c r="M273" s="30"/>
      <c r="N273" s="74">
        <v>76</v>
      </c>
      <c r="O273" s="30">
        <v>1</v>
      </c>
      <c r="P273" s="81"/>
      <c r="Q273" s="34" t="s">
        <v>27</v>
      </c>
      <c r="R273" s="75"/>
      <c r="S273" s="76"/>
      <c r="T273" s="77">
        <v>50.85</v>
      </c>
      <c r="U273" s="30">
        <f t="shared" si="17"/>
        <v>101.7</v>
      </c>
      <c r="V273" s="30">
        <f t="shared" si="19"/>
        <v>101.7</v>
      </c>
      <c r="W273" s="30">
        <f t="shared" si="20"/>
        <v>18.306000000000001</v>
      </c>
      <c r="X273" s="79">
        <f t="shared" si="18"/>
        <v>120.006</v>
      </c>
      <c r="Y273" s="44"/>
    </row>
    <row r="274" spans="1:25" ht="31.2">
      <c r="A274" s="73">
        <v>44630</v>
      </c>
      <c r="B274" s="30" t="s">
        <v>399</v>
      </c>
      <c r="C274" s="69" t="s">
        <v>21</v>
      </c>
      <c r="D274" s="70" t="s">
        <v>22</v>
      </c>
      <c r="E274" s="30">
        <v>1</v>
      </c>
      <c r="F274" s="30" t="s">
        <v>24</v>
      </c>
      <c r="G274" s="30">
        <v>4</v>
      </c>
      <c r="H274" s="30" t="s">
        <v>28</v>
      </c>
      <c r="I274" s="45" t="s">
        <v>201</v>
      </c>
      <c r="J274" s="71"/>
      <c r="K274" s="80"/>
      <c r="L274" s="73">
        <v>44630</v>
      </c>
      <c r="M274" s="30"/>
      <c r="N274" s="74">
        <v>77</v>
      </c>
      <c r="O274" s="30">
        <v>1</v>
      </c>
      <c r="P274" s="81"/>
      <c r="Q274" s="34" t="s">
        <v>27</v>
      </c>
      <c r="R274" s="75"/>
      <c r="S274" s="76"/>
      <c r="T274" s="77">
        <v>17.8</v>
      </c>
      <c r="U274" s="30">
        <f t="shared" si="17"/>
        <v>17.8</v>
      </c>
      <c r="V274" s="30">
        <f t="shared" si="19"/>
        <v>17.8</v>
      </c>
      <c r="W274" s="30">
        <f t="shared" si="20"/>
        <v>3.2040000000000002</v>
      </c>
      <c r="X274" s="79">
        <f t="shared" si="18"/>
        <v>21.004000000000001</v>
      </c>
      <c r="Y274" s="44"/>
    </row>
    <row r="275" spans="1:25" ht="31.2">
      <c r="A275" s="73">
        <v>44630</v>
      </c>
      <c r="B275" s="30" t="s">
        <v>400</v>
      </c>
      <c r="C275" s="69" t="s">
        <v>21</v>
      </c>
      <c r="D275" s="70" t="s">
        <v>22</v>
      </c>
      <c r="E275" s="30">
        <v>1</v>
      </c>
      <c r="F275" s="30" t="s">
        <v>24</v>
      </c>
      <c r="G275" s="30">
        <v>4</v>
      </c>
      <c r="H275" s="30" t="s">
        <v>28</v>
      </c>
      <c r="I275" s="45" t="s">
        <v>57</v>
      </c>
      <c r="J275" s="71"/>
      <c r="K275" s="80"/>
      <c r="L275" s="73">
        <v>44630</v>
      </c>
      <c r="M275" s="30"/>
      <c r="N275" s="74" t="s">
        <v>202</v>
      </c>
      <c r="O275" s="30">
        <v>1</v>
      </c>
      <c r="P275" s="81"/>
      <c r="Q275" s="34" t="s">
        <v>27</v>
      </c>
      <c r="R275" s="75"/>
      <c r="S275" s="76"/>
      <c r="T275" s="77">
        <v>16.95</v>
      </c>
      <c r="U275" s="30">
        <f t="shared" si="17"/>
        <v>16.95</v>
      </c>
      <c r="V275" s="30">
        <f t="shared" si="19"/>
        <v>16.95</v>
      </c>
      <c r="W275" s="30">
        <f t="shared" si="20"/>
        <v>3.0509999999999997</v>
      </c>
      <c r="X275" s="79">
        <f t="shared" si="18"/>
        <v>20.000999999999998</v>
      </c>
      <c r="Y275" s="44"/>
    </row>
    <row r="276" spans="1:25" ht="31.2">
      <c r="A276" s="73">
        <v>44630</v>
      </c>
      <c r="B276" s="30" t="s">
        <v>401</v>
      </c>
      <c r="C276" s="69" t="s">
        <v>21</v>
      </c>
      <c r="D276" s="70" t="s">
        <v>22</v>
      </c>
      <c r="E276" s="30">
        <v>1</v>
      </c>
      <c r="F276" s="30" t="s">
        <v>24</v>
      </c>
      <c r="G276" s="30">
        <v>4</v>
      </c>
      <c r="H276" s="30" t="s">
        <v>28</v>
      </c>
      <c r="I276" s="45" t="s">
        <v>52</v>
      </c>
      <c r="J276" s="71"/>
      <c r="K276" s="80"/>
      <c r="L276" s="73">
        <v>44630</v>
      </c>
      <c r="M276" s="30"/>
      <c r="N276" s="74" t="s">
        <v>203</v>
      </c>
      <c r="O276" s="30">
        <v>1</v>
      </c>
      <c r="P276" s="81"/>
      <c r="Q276" s="34" t="s">
        <v>27</v>
      </c>
      <c r="R276" s="75"/>
      <c r="S276" s="76"/>
      <c r="T276" s="77">
        <v>16.95</v>
      </c>
      <c r="U276" s="30">
        <f t="shared" si="17"/>
        <v>16.95</v>
      </c>
      <c r="V276" s="30">
        <f t="shared" si="19"/>
        <v>16.95</v>
      </c>
      <c r="W276" s="30">
        <f t="shared" si="20"/>
        <v>3.0509999999999997</v>
      </c>
      <c r="X276" s="79">
        <f t="shared" si="18"/>
        <v>20.000999999999998</v>
      </c>
      <c r="Y276" s="44"/>
    </row>
    <row r="277" spans="1:25" ht="31.2">
      <c r="A277" s="73">
        <v>44630</v>
      </c>
      <c r="B277" s="30" t="s">
        <v>401</v>
      </c>
      <c r="C277" s="69" t="s">
        <v>21</v>
      </c>
      <c r="D277" s="70" t="s">
        <v>22</v>
      </c>
      <c r="E277" s="30">
        <v>1</v>
      </c>
      <c r="F277" s="30" t="s">
        <v>24</v>
      </c>
      <c r="G277" s="30">
        <v>4</v>
      </c>
      <c r="H277" s="30" t="s">
        <v>28</v>
      </c>
      <c r="I277" s="45" t="s">
        <v>57</v>
      </c>
      <c r="J277" s="71"/>
      <c r="K277" s="80"/>
      <c r="L277" s="73">
        <v>44630</v>
      </c>
      <c r="M277" s="30"/>
      <c r="N277" s="74" t="s">
        <v>203</v>
      </c>
      <c r="O277" s="30">
        <v>1</v>
      </c>
      <c r="P277" s="81"/>
      <c r="Q277" s="34" t="s">
        <v>27</v>
      </c>
      <c r="R277" s="75"/>
      <c r="S277" s="76"/>
      <c r="T277" s="77">
        <v>16.95</v>
      </c>
      <c r="U277" s="30">
        <f t="shared" si="17"/>
        <v>16.95</v>
      </c>
      <c r="V277" s="30">
        <f t="shared" si="19"/>
        <v>16.95</v>
      </c>
      <c r="W277" s="30">
        <f t="shared" si="20"/>
        <v>3.0509999999999997</v>
      </c>
      <c r="X277" s="79">
        <f t="shared" si="18"/>
        <v>20.000999999999998</v>
      </c>
      <c r="Y277" s="44"/>
    </row>
    <row r="278" spans="1:25" ht="46.8">
      <c r="A278" s="73">
        <v>44630</v>
      </c>
      <c r="B278" s="30" t="s">
        <v>283</v>
      </c>
      <c r="C278" s="69" t="s">
        <v>21</v>
      </c>
      <c r="D278" s="70" t="s">
        <v>22</v>
      </c>
      <c r="E278" s="30">
        <v>1</v>
      </c>
      <c r="F278" s="30" t="s">
        <v>24</v>
      </c>
      <c r="G278" s="30">
        <v>4</v>
      </c>
      <c r="H278" s="30" t="s">
        <v>28</v>
      </c>
      <c r="I278" s="45" t="s">
        <v>45</v>
      </c>
      <c r="J278" s="71"/>
      <c r="K278" s="80"/>
      <c r="L278" s="73">
        <v>44630</v>
      </c>
      <c r="M278" s="30"/>
      <c r="N278" s="74" t="s">
        <v>204</v>
      </c>
      <c r="O278" s="30">
        <v>1</v>
      </c>
      <c r="P278" s="81"/>
      <c r="Q278" s="34" t="s">
        <v>27</v>
      </c>
      <c r="R278" s="75"/>
      <c r="S278" s="76"/>
      <c r="T278" s="77">
        <v>34.75</v>
      </c>
      <c r="U278" s="30">
        <f t="shared" si="17"/>
        <v>34.75</v>
      </c>
      <c r="V278" s="30">
        <f t="shared" si="19"/>
        <v>34.75</v>
      </c>
      <c r="W278" s="30">
        <f t="shared" si="20"/>
        <v>6.2549999999999999</v>
      </c>
      <c r="X278" s="79">
        <f t="shared" si="18"/>
        <v>41.005000000000003</v>
      </c>
      <c r="Y278" s="44"/>
    </row>
    <row r="279" spans="1:25" ht="31.2">
      <c r="A279" s="73">
        <v>44630</v>
      </c>
      <c r="B279" s="30" t="s">
        <v>283</v>
      </c>
      <c r="C279" s="69" t="s">
        <v>21</v>
      </c>
      <c r="D279" s="70" t="s">
        <v>22</v>
      </c>
      <c r="E279" s="30">
        <v>1</v>
      </c>
      <c r="F279" s="30" t="s">
        <v>24</v>
      </c>
      <c r="G279" s="30">
        <v>4</v>
      </c>
      <c r="H279" s="30" t="s">
        <v>28</v>
      </c>
      <c r="I279" s="45" t="s">
        <v>88</v>
      </c>
      <c r="J279" s="71"/>
      <c r="K279" s="80"/>
      <c r="L279" s="73">
        <v>44630</v>
      </c>
      <c r="M279" s="30"/>
      <c r="N279" s="74" t="s">
        <v>204</v>
      </c>
      <c r="O279" s="30">
        <v>1</v>
      </c>
      <c r="P279" s="81"/>
      <c r="Q279" s="34" t="s">
        <v>27</v>
      </c>
      <c r="R279" s="75"/>
      <c r="S279" s="76"/>
      <c r="T279" s="77">
        <v>50.85</v>
      </c>
      <c r="U279" s="30">
        <f t="shared" si="17"/>
        <v>50.85</v>
      </c>
      <c r="V279" s="30">
        <f t="shared" si="19"/>
        <v>50.85</v>
      </c>
      <c r="W279" s="30">
        <f t="shared" si="20"/>
        <v>9.1530000000000005</v>
      </c>
      <c r="X279" s="79">
        <f t="shared" si="18"/>
        <v>60.003</v>
      </c>
      <c r="Y279" s="44"/>
    </row>
    <row r="280" spans="1:25" ht="46.8">
      <c r="A280" s="73">
        <v>44631</v>
      </c>
      <c r="B280" s="30" t="s">
        <v>402</v>
      </c>
      <c r="C280" s="69" t="s">
        <v>21</v>
      </c>
      <c r="D280" s="70" t="s">
        <v>22</v>
      </c>
      <c r="E280" s="30">
        <v>1</v>
      </c>
      <c r="F280" s="30" t="s">
        <v>24</v>
      </c>
      <c r="G280" s="30">
        <v>4</v>
      </c>
      <c r="H280" s="30" t="s">
        <v>28</v>
      </c>
      <c r="I280" s="45" t="s">
        <v>170</v>
      </c>
      <c r="J280" s="71"/>
      <c r="K280" s="80"/>
      <c r="L280" s="73">
        <v>44631</v>
      </c>
      <c r="M280" s="30"/>
      <c r="N280" s="74" t="s">
        <v>205</v>
      </c>
      <c r="O280" s="30">
        <v>1</v>
      </c>
      <c r="P280" s="81"/>
      <c r="Q280" s="34" t="s">
        <v>27</v>
      </c>
      <c r="R280" s="75"/>
      <c r="S280" s="76"/>
      <c r="T280" s="77">
        <v>16.53</v>
      </c>
      <c r="U280" s="30">
        <f t="shared" si="17"/>
        <v>16.53</v>
      </c>
      <c r="V280" s="30">
        <f t="shared" si="19"/>
        <v>16.53</v>
      </c>
      <c r="W280" s="30">
        <f t="shared" si="20"/>
        <v>2.9754</v>
      </c>
      <c r="X280" s="79">
        <f t="shared" si="18"/>
        <v>19.505400000000002</v>
      </c>
      <c r="Y280" s="44"/>
    </row>
    <row r="281" spans="1:25" ht="15.6">
      <c r="A281" s="73">
        <v>44631</v>
      </c>
      <c r="B281" s="30" t="s">
        <v>402</v>
      </c>
      <c r="C281" s="69" t="s">
        <v>21</v>
      </c>
      <c r="D281" s="70" t="s">
        <v>22</v>
      </c>
      <c r="E281" s="30">
        <v>1</v>
      </c>
      <c r="F281" s="30" t="s">
        <v>24</v>
      </c>
      <c r="G281" s="30">
        <v>4</v>
      </c>
      <c r="H281" s="30" t="s">
        <v>28</v>
      </c>
      <c r="I281" s="45" t="s">
        <v>35</v>
      </c>
      <c r="J281" s="71"/>
      <c r="K281" s="80"/>
      <c r="L281" s="73">
        <v>44631</v>
      </c>
      <c r="M281" s="30"/>
      <c r="N281" s="74" t="s">
        <v>205</v>
      </c>
      <c r="O281" s="30">
        <v>1</v>
      </c>
      <c r="P281" s="81"/>
      <c r="Q281" s="34" t="s">
        <v>27</v>
      </c>
      <c r="R281" s="75"/>
      <c r="S281" s="76"/>
      <c r="T281" s="77">
        <v>23.73</v>
      </c>
      <c r="U281" s="30">
        <f t="shared" si="17"/>
        <v>23.73</v>
      </c>
      <c r="V281" s="30">
        <f t="shared" si="19"/>
        <v>23.73</v>
      </c>
      <c r="W281" s="30">
        <f t="shared" si="20"/>
        <v>4.2713999999999999</v>
      </c>
      <c r="X281" s="79">
        <f t="shared" si="18"/>
        <v>28.0014</v>
      </c>
      <c r="Y281" s="44"/>
    </row>
    <row r="282" spans="1:25" ht="31.2">
      <c r="A282" s="73">
        <v>44631</v>
      </c>
      <c r="B282" s="30" t="s">
        <v>403</v>
      </c>
      <c r="C282" s="69" t="s">
        <v>21</v>
      </c>
      <c r="D282" s="70" t="s">
        <v>22</v>
      </c>
      <c r="E282" s="30">
        <v>1</v>
      </c>
      <c r="F282" s="30" t="s">
        <v>24</v>
      </c>
      <c r="G282" s="30">
        <v>1</v>
      </c>
      <c r="H282" s="30" t="s">
        <v>28</v>
      </c>
      <c r="I282" s="45" t="s">
        <v>49</v>
      </c>
      <c r="J282" s="71"/>
      <c r="K282" s="80"/>
      <c r="L282" s="73">
        <v>44631</v>
      </c>
      <c r="M282" s="30"/>
      <c r="N282" s="74" t="s">
        <v>206</v>
      </c>
      <c r="O282" s="30">
        <v>1</v>
      </c>
      <c r="P282" s="81"/>
      <c r="Q282" s="34" t="s">
        <v>27</v>
      </c>
      <c r="R282" s="75"/>
      <c r="S282" s="76"/>
      <c r="T282" s="77">
        <v>21.19</v>
      </c>
      <c r="U282" s="30">
        <f t="shared" si="17"/>
        <v>21.19</v>
      </c>
      <c r="V282" s="30">
        <f t="shared" si="19"/>
        <v>21.19</v>
      </c>
      <c r="W282" s="30">
        <f t="shared" si="20"/>
        <v>3.8142</v>
      </c>
      <c r="X282" s="79">
        <f t="shared" si="18"/>
        <v>25.004200000000001</v>
      </c>
      <c r="Y282" s="44"/>
    </row>
    <row r="283" spans="1:25" ht="15.6">
      <c r="A283" s="73">
        <v>44632</v>
      </c>
      <c r="B283" s="30" t="s">
        <v>404</v>
      </c>
      <c r="C283" s="69" t="s">
        <v>21</v>
      </c>
      <c r="D283" s="70" t="s">
        <v>22</v>
      </c>
      <c r="E283" s="30">
        <v>1</v>
      </c>
      <c r="F283" s="30" t="s">
        <v>24</v>
      </c>
      <c r="G283" s="30">
        <v>4</v>
      </c>
      <c r="H283" s="30" t="s">
        <v>28</v>
      </c>
      <c r="I283" s="45" t="s">
        <v>35</v>
      </c>
      <c r="J283" s="71"/>
      <c r="K283" s="80"/>
      <c r="L283" s="73">
        <v>44632</v>
      </c>
      <c r="M283" s="30"/>
      <c r="N283" s="74" t="s">
        <v>207</v>
      </c>
      <c r="O283" s="30">
        <v>1</v>
      </c>
      <c r="P283" s="81"/>
      <c r="Q283" s="34" t="s">
        <v>27</v>
      </c>
      <c r="R283" s="75"/>
      <c r="S283" s="76"/>
      <c r="T283" s="77">
        <v>23.73</v>
      </c>
      <c r="U283" s="30">
        <f t="shared" si="17"/>
        <v>23.73</v>
      </c>
      <c r="V283" s="30">
        <f t="shared" si="19"/>
        <v>23.73</v>
      </c>
      <c r="W283" s="30">
        <f t="shared" si="20"/>
        <v>4.2713999999999999</v>
      </c>
      <c r="X283" s="79">
        <f t="shared" si="18"/>
        <v>28.0014</v>
      </c>
      <c r="Y283" s="44"/>
    </row>
    <row r="284" spans="1:25" ht="31.2">
      <c r="A284" s="73">
        <v>44632</v>
      </c>
      <c r="B284" s="30" t="s">
        <v>405</v>
      </c>
      <c r="C284" s="69" t="s">
        <v>21</v>
      </c>
      <c r="D284" s="70" t="s">
        <v>22</v>
      </c>
      <c r="E284" s="30">
        <v>1</v>
      </c>
      <c r="F284" s="30" t="s">
        <v>24</v>
      </c>
      <c r="G284" s="30">
        <v>1</v>
      </c>
      <c r="H284" s="30" t="s">
        <v>28</v>
      </c>
      <c r="I284" s="45" t="s">
        <v>49</v>
      </c>
      <c r="J284" s="71"/>
      <c r="K284" s="80"/>
      <c r="L284" s="73">
        <v>44632</v>
      </c>
      <c r="M284" s="30"/>
      <c r="N284" s="74" t="s">
        <v>208</v>
      </c>
      <c r="O284" s="30">
        <v>1</v>
      </c>
      <c r="P284" s="81"/>
      <c r="Q284" s="34" t="s">
        <v>27</v>
      </c>
      <c r="R284" s="75"/>
      <c r="S284" s="76"/>
      <c r="T284" s="77">
        <v>21.19</v>
      </c>
      <c r="U284" s="30">
        <f t="shared" si="17"/>
        <v>21.19</v>
      </c>
      <c r="V284" s="30">
        <f t="shared" si="19"/>
        <v>21.19</v>
      </c>
      <c r="W284" s="30">
        <f t="shared" si="20"/>
        <v>3.8142</v>
      </c>
      <c r="X284" s="79">
        <f t="shared" si="18"/>
        <v>25.004200000000001</v>
      </c>
      <c r="Y284" s="44"/>
    </row>
    <row r="285" spans="1:25" ht="62.4">
      <c r="A285" s="73">
        <v>44634</v>
      </c>
      <c r="B285" s="30" t="s">
        <v>406</v>
      </c>
      <c r="C285" s="69" t="s">
        <v>21</v>
      </c>
      <c r="D285" s="70" t="s">
        <v>22</v>
      </c>
      <c r="E285" s="30">
        <v>1</v>
      </c>
      <c r="F285" s="30" t="s">
        <v>24</v>
      </c>
      <c r="G285" s="30">
        <v>4</v>
      </c>
      <c r="H285" s="30" t="s">
        <v>28</v>
      </c>
      <c r="I285" s="45" t="s">
        <v>85</v>
      </c>
      <c r="J285" s="71"/>
      <c r="K285" s="80"/>
      <c r="L285" s="73">
        <v>44634</v>
      </c>
      <c r="M285" s="30"/>
      <c r="N285" s="74" t="s">
        <v>209</v>
      </c>
      <c r="O285" s="30">
        <v>1</v>
      </c>
      <c r="P285" s="81"/>
      <c r="Q285" s="34" t="s">
        <v>27</v>
      </c>
      <c r="R285" s="75"/>
      <c r="S285" s="76"/>
      <c r="T285" s="77">
        <v>15.25</v>
      </c>
      <c r="U285" s="30">
        <f t="shared" si="17"/>
        <v>15.25</v>
      </c>
      <c r="V285" s="30">
        <f t="shared" si="19"/>
        <v>15.25</v>
      </c>
      <c r="W285" s="30">
        <f t="shared" si="20"/>
        <v>2.7450000000000001</v>
      </c>
      <c r="X285" s="79">
        <f t="shared" si="18"/>
        <v>17.995000000000001</v>
      </c>
      <c r="Y285" s="44"/>
    </row>
    <row r="286" spans="1:25" ht="31.2">
      <c r="A286" s="73">
        <v>44634</v>
      </c>
      <c r="B286" s="30" t="s">
        <v>406</v>
      </c>
      <c r="C286" s="69" t="s">
        <v>21</v>
      </c>
      <c r="D286" s="70" t="s">
        <v>22</v>
      </c>
      <c r="E286" s="30">
        <v>1</v>
      </c>
      <c r="F286" s="30" t="s">
        <v>24</v>
      </c>
      <c r="G286" s="30">
        <v>4</v>
      </c>
      <c r="H286" s="30" t="s">
        <v>28</v>
      </c>
      <c r="I286" s="45" t="s">
        <v>92</v>
      </c>
      <c r="J286" s="71"/>
      <c r="K286" s="80"/>
      <c r="L286" s="73">
        <v>44634</v>
      </c>
      <c r="M286" s="30"/>
      <c r="N286" s="74" t="s">
        <v>209</v>
      </c>
      <c r="O286" s="30">
        <v>1</v>
      </c>
      <c r="P286" s="81"/>
      <c r="Q286" s="34" t="s">
        <v>27</v>
      </c>
      <c r="R286" s="75"/>
      <c r="S286" s="76"/>
      <c r="T286" s="77">
        <v>27.97</v>
      </c>
      <c r="U286" s="30">
        <f t="shared" si="17"/>
        <v>27.97</v>
      </c>
      <c r="V286" s="30">
        <f t="shared" si="19"/>
        <v>27.97</v>
      </c>
      <c r="W286" s="30">
        <f t="shared" si="20"/>
        <v>5.0345999999999993</v>
      </c>
      <c r="X286" s="79">
        <f t="shared" si="18"/>
        <v>33.004599999999996</v>
      </c>
      <c r="Y286" s="44"/>
    </row>
    <row r="287" spans="1:25" ht="31.2">
      <c r="A287" s="73">
        <v>44634</v>
      </c>
      <c r="B287" s="30" t="s">
        <v>406</v>
      </c>
      <c r="C287" s="69" t="s">
        <v>21</v>
      </c>
      <c r="D287" s="70" t="s">
        <v>22</v>
      </c>
      <c r="E287" s="30">
        <v>1</v>
      </c>
      <c r="F287" s="30" t="s">
        <v>24</v>
      </c>
      <c r="G287" s="30">
        <v>4</v>
      </c>
      <c r="H287" s="30" t="s">
        <v>28</v>
      </c>
      <c r="I287" s="45" t="s">
        <v>57</v>
      </c>
      <c r="J287" s="71"/>
      <c r="K287" s="80"/>
      <c r="L287" s="73">
        <v>44634</v>
      </c>
      <c r="M287" s="30"/>
      <c r="N287" s="74" t="s">
        <v>209</v>
      </c>
      <c r="O287" s="30">
        <v>1</v>
      </c>
      <c r="P287" s="81"/>
      <c r="Q287" s="34" t="s">
        <v>27</v>
      </c>
      <c r="R287" s="75"/>
      <c r="S287" s="76"/>
      <c r="T287" s="77">
        <v>16.95</v>
      </c>
      <c r="U287" s="30">
        <f t="shared" si="17"/>
        <v>16.95</v>
      </c>
      <c r="V287" s="30">
        <f t="shared" si="19"/>
        <v>16.95</v>
      </c>
      <c r="W287" s="30">
        <f t="shared" si="20"/>
        <v>3.0509999999999997</v>
      </c>
      <c r="X287" s="79">
        <f t="shared" si="18"/>
        <v>20.000999999999998</v>
      </c>
      <c r="Y287" s="44"/>
    </row>
    <row r="288" spans="1:25" ht="46.8">
      <c r="A288" s="73">
        <v>44634</v>
      </c>
      <c r="B288" s="30" t="s">
        <v>407</v>
      </c>
      <c r="C288" s="69" t="s">
        <v>21</v>
      </c>
      <c r="D288" s="70" t="s">
        <v>22</v>
      </c>
      <c r="E288" s="30">
        <v>1</v>
      </c>
      <c r="F288" s="30" t="s">
        <v>24</v>
      </c>
      <c r="G288" s="30">
        <v>4</v>
      </c>
      <c r="H288" s="30" t="s">
        <v>28</v>
      </c>
      <c r="I288" s="45" t="s">
        <v>170</v>
      </c>
      <c r="J288" s="71"/>
      <c r="K288" s="80"/>
      <c r="L288" s="73">
        <v>44634</v>
      </c>
      <c r="M288" s="30"/>
      <c r="N288" s="74">
        <v>78</v>
      </c>
      <c r="O288" s="30">
        <v>1</v>
      </c>
      <c r="P288" s="81"/>
      <c r="Q288" s="34" t="s">
        <v>27</v>
      </c>
      <c r="R288" s="75"/>
      <c r="S288" s="76"/>
      <c r="T288" s="77">
        <v>16.53</v>
      </c>
      <c r="U288" s="30">
        <f t="shared" si="17"/>
        <v>16.53</v>
      </c>
      <c r="V288" s="30">
        <f t="shared" si="19"/>
        <v>16.53</v>
      </c>
      <c r="W288" s="30">
        <f t="shared" si="20"/>
        <v>2.9754</v>
      </c>
      <c r="X288" s="79">
        <f t="shared" si="18"/>
        <v>19.505400000000002</v>
      </c>
      <c r="Y288" s="44"/>
    </row>
    <row r="289" spans="1:25" ht="31.2">
      <c r="A289" s="73">
        <v>44636</v>
      </c>
      <c r="B289" s="30" t="s">
        <v>310</v>
      </c>
      <c r="C289" s="69" t="s">
        <v>21</v>
      </c>
      <c r="D289" s="70" t="s">
        <v>22</v>
      </c>
      <c r="E289" s="30">
        <v>1</v>
      </c>
      <c r="F289" s="30" t="s">
        <v>24</v>
      </c>
      <c r="G289" s="30">
        <v>4</v>
      </c>
      <c r="H289" s="30" t="s">
        <v>28</v>
      </c>
      <c r="I289" s="45" t="s">
        <v>92</v>
      </c>
      <c r="J289" s="71"/>
      <c r="K289" s="80"/>
      <c r="L289" s="73">
        <v>44636</v>
      </c>
      <c r="M289" s="30"/>
      <c r="N289" s="74" t="s">
        <v>210</v>
      </c>
      <c r="O289" s="30">
        <v>1</v>
      </c>
      <c r="P289" s="81"/>
      <c r="Q289" s="34" t="s">
        <v>27</v>
      </c>
      <c r="R289" s="75"/>
      <c r="S289" s="76"/>
      <c r="T289" s="77">
        <v>27.97</v>
      </c>
      <c r="U289" s="30">
        <f t="shared" si="17"/>
        <v>27.97</v>
      </c>
      <c r="V289" s="30">
        <f t="shared" si="19"/>
        <v>27.97</v>
      </c>
      <c r="W289" s="30">
        <f t="shared" si="20"/>
        <v>5.0345999999999993</v>
      </c>
      <c r="X289" s="79">
        <f t="shared" si="18"/>
        <v>33.004599999999996</v>
      </c>
      <c r="Y289" s="44"/>
    </row>
    <row r="290" spans="1:25" ht="46.8">
      <c r="A290" s="73">
        <v>44636</v>
      </c>
      <c r="B290" s="30" t="s">
        <v>310</v>
      </c>
      <c r="C290" s="69" t="s">
        <v>21</v>
      </c>
      <c r="D290" s="70" t="s">
        <v>22</v>
      </c>
      <c r="E290" s="30">
        <v>1</v>
      </c>
      <c r="F290" s="30" t="s">
        <v>24</v>
      </c>
      <c r="G290" s="30">
        <v>4</v>
      </c>
      <c r="H290" s="30" t="s">
        <v>28</v>
      </c>
      <c r="I290" s="45" t="s">
        <v>80</v>
      </c>
      <c r="J290" s="71"/>
      <c r="K290" s="80"/>
      <c r="L290" s="73">
        <v>44636</v>
      </c>
      <c r="M290" s="30"/>
      <c r="N290" s="74" t="s">
        <v>210</v>
      </c>
      <c r="O290" s="30">
        <v>1</v>
      </c>
      <c r="P290" s="81"/>
      <c r="Q290" s="34" t="s">
        <v>27</v>
      </c>
      <c r="R290" s="75"/>
      <c r="S290" s="76"/>
      <c r="T290" s="77">
        <v>39.83</v>
      </c>
      <c r="U290" s="30">
        <f t="shared" si="17"/>
        <v>39.83</v>
      </c>
      <c r="V290" s="30">
        <f t="shared" si="19"/>
        <v>39.83</v>
      </c>
      <c r="W290" s="30">
        <f t="shared" si="20"/>
        <v>7.1693999999999996</v>
      </c>
      <c r="X290" s="79">
        <f t="shared" si="18"/>
        <v>46.999399999999994</v>
      </c>
      <c r="Y290" s="44"/>
    </row>
    <row r="291" spans="1:25" ht="15.6">
      <c r="A291" s="73">
        <v>44636</v>
      </c>
      <c r="B291" s="30" t="s">
        <v>408</v>
      </c>
      <c r="C291" s="69" t="s">
        <v>21</v>
      </c>
      <c r="D291" s="70" t="s">
        <v>22</v>
      </c>
      <c r="E291" s="30">
        <v>1</v>
      </c>
      <c r="F291" s="30" t="s">
        <v>24</v>
      </c>
      <c r="G291" s="30">
        <v>1</v>
      </c>
      <c r="H291" s="30" t="s">
        <v>28</v>
      </c>
      <c r="I291" s="45" t="s">
        <v>35</v>
      </c>
      <c r="J291" s="71"/>
      <c r="K291" s="80"/>
      <c r="L291" s="73">
        <v>44636</v>
      </c>
      <c r="M291" s="30"/>
      <c r="N291" s="74" t="s">
        <v>211</v>
      </c>
      <c r="O291" s="30">
        <v>1</v>
      </c>
      <c r="P291" s="81"/>
      <c r="Q291" s="34" t="s">
        <v>27</v>
      </c>
      <c r="R291" s="75"/>
      <c r="S291" s="76"/>
      <c r="T291" s="77">
        <v>8.0500000000000007</v>
      </c>
      <c r="U291" s="30">
        <f t="shared" si="17"/>
        <v>8.0500000000000007</v>
      </c>
      <c r="V291" s="30">
        <f t="shared" si="19"/>
        <v>8.0500000000000007</v>
      </c>
      <c r="W291" s="30">
        <f t="shared" si="20"/>
        <v>1.4490000000000001</v>
      </c>
      <c r="X291" s="79">
        <f t="shared" si="18"/>
        <v>9.4990000000000006</v>
      </c>
      <c r="Y291" s="44"/>
    </row>
    <row r="292" spans="1:25" ht="46.8">
      <c r="A292" s="73">
        <v>44636</v>
      </c>
      <c r="B292" s="30" t="s">
        <v>408</v>
      </c>
      <c r="C292" s="69" t="s">
        <v>21</v>
      </c>
      <c r="D292" s="70" t="s">
        <v>22</v>
      </c>
      <c r="E292" s="30">
        <v>1</v>
      </c>
      <c r="F292" s="30" t="s">
        <v>24</v>
      </c>
      <c r="G292" s="30">
        <v>4</v>
      </c>
      <c r="H292" s="30" t="s">
        <v>28</v>
      </c>
      <c r="I292" s="45" t="s">
        <v>99</v>
      </c>
      <c r="J292" s="71"/>
      <c r="K292" s="80"/>
      <c r="L292" s="73">
        <v>44636</v>
      </c>
      <c r="M292" s="30"/>
      <c r="N292" s="74" t="s">
        <v>211</v>
      </c>
      <c r="O292" s="30">
        <v>1</v>
      </c>
      <c r="P292" s="81"/>
      <c r="Q292" s="34" t="s">
        <v>27</v>
      </c>
      <c r="R292" s="75"/>
      <c r="S292" s="76"/>
      <c r="T292" s="77">
        <v>31.36</v>
      </c>
      <c r="U292" s="30">
        <f t="shared" si="17"/>
        <v>31.36</v>
      </c>
      <c r="V292" s="30">
        <f t="shared" si="19"/>
        <v>31.36</v>
      </c>
      <c r="W292" s="30">
        <f t="shared" si="20"/>
        <v>5.6448</v>
      </c>
      <c r="X292" s="79">
        <f t="shared" si="18"/>
        <v>37.004800000000003</v>
      </c>
      <c r="Y292" s="44"/>
    </row>
    <row r="293" spans="1:25" ht="15.6">
      <c r="A293" s="73">
        <v>44636</v>
      </c>
      <c r="B293" s="30" t="s">
        <v>409</v>
      </c>
      <c r="C293" s="69" t="s">
        <v>21</v>
      </c>
      <c r="D293" s="70" t="s">
        <v>22</v>
      </c>
      <c r="E293" s="30">
        <v>1</v>
      </c>
      <c r="F293" s="30" t="s">
        <v>24</v>
      </c>
      <c r="G293" s="30">
        <v>4</v>
      </c>
      <c r="H293" s="30" t="s">
        <v>28</v>
      </c>
      <c r="I293" s="45" t="s">
        <v>35</v>
      </c>
      <c r="J293" s="71"/>
      <c r="K293" s="80"/>
      <c r="L293" s="73">
        <v>44636</v>
      </c>
      <c r="M293" s="30"/>
      <c r="N293" s="74" t="s">
        <v>212</v>
      </c>
      <c r="O293" s="30">
        <v>1</v>
      </c>
      <c r="P293" s="81"/>
      <c r="Q293" s="34" t="s">
        <v>27</v>
      </c>
      <c r="R293" s="75"/>
      <c r="S293" s="76"/>
      <c r="T293" s="77">
        <v>23.73</v>
      </c>
      <c r="U293" s="30">
        <f t="shared" si="17"/>
        <v>23.73</v>
      </c>
      <c r="V293" s="30">
        <f t="shared" si="19"/>
        <v>23.73</v>
      </c>
      <c r="W293" s="30">
        <f t="shared" si="20"/>
        <v>4.2713999999999999</v>
      </c>
      <c r="X293" s="79">
        <f t="shared" si="18"/>
        <v>28.0014</v>
      </c>
      <c r="Y293" s="44"/>
    </row>
    <row r="294" spans="1:25" ht="31.2">
      <c r="A294" s="73">
        <v>44636</v>
      </c>
      <c r="B294" s="30" t="s">
        <v>410</v>
      </c>
      <c r="C294" s="69" t="s">
        <v>21</v>
      </c>
      <c r="D294" s="70" t="s">
        <v>22</v>
      </c>
      <c r="E294" s="30">
        <v>1</v>
      </c>
      <c r="F294" s="30" t="s">
        <v>24</v>
      </c>
      <c r="G294" s="30">
        <v>4</v>
      </c>
      <c r="H294" s="30" t="s">
        <v>28</v>
      </c>
      <c r="I294" s="45" t="s">
        <v>82</v>
      </c>
      <c r="J294" s="71"/>
      <c r="K294" s="80"/>
      <c r="L294" s="73">
        <v>44636</v>
      </c>
      <c r="M294" s="30"/>
      <c r="N294" s="74" t="s">
        <v>213</v>
      </c>
      <c r="O294" s="30">
        <v>1</v>
      </c>
      <c r="P294" s="81"/>
      <c r="Q294" s="34" t="s">
        <v>27</v>
      </c>
      <c r="R294" s="75"/>
      <c r="S294" s="76"/>
      <c r="T294" s="77">
        <v>6.78</v>
      </c>
      <c r="U294" s="30">
        <f t="shared" si="17"/>
        <v>6.78</v>
      </c>
      <c r="V294" s="30">
        <f t="shared" si="19"/>
        <v>6.78</v>
      </c>
      <c r="W294" s="30">
        <f t="shared" si="20"/>
        <v>1.2203999999999999</v>
      </c>
      <c r="X294" s="79">
        <f t="shared" si="18"/>
        <v>8.0004000000000008</v>
      </c>
      <c r="Y294" s="44"/>
    </row>
    <row r="295" spans="1:25" ht="62.4">
      <c r="A295" s="73">
        <v>44636</v>
      </c>
      <c r="B295" s="30" t="s">
        <v>411</v>
      </c>
      <c r="C295" s="69" t="s">
        <v>21</v>
      </c>
      <c r="D295" s="70" t="s">
        <v>22</v>
      </c>
      <c r="E295" s="30">
        <v>1</v>
      </c>
      <c r="F295" s="30" t="s">
        <v>24</v>
      </c>
      <c r="G295" s="30">
        <v>4</v>
      </c>
      <c r="H295" s="30" t="s">
        <v>28</v>
      </c>
      <c r="I295" s="45" t="s">
        <v>85</v>
      </c>
      <c r="J295" s="71"/>
      <c r="K295" s="80"/>
      <c r="L295" s="73">
        <v>44636</v>
      </c>
      <c r="M295" s="30"/>
      <c r="N295" s="74" t="s">
        <v>214</v>
      </c>
      <c r="O295" s="30">
        <v>1</v>
      </c>
      <c r="P295" s="81"/>
      <c r="Q295" s="34" t="s">
        <v>27</v>
      </c>
      <c r="R295" s="75"/>
      <c r="S295" s="76"/>
      <c r="T295" s="77">
        <v>15.25</v>
      </c>
      <c r="U295" s="30">
        <f t="shared" si="17"/>
        <v>15.25</v>
      </c>
      <c r="V295" s="30">
        <f t="shared" si="19"/>
        <v>15.25</v>
      </c>
      <c r="W295" s="30">
        <f t="shared" si="20"/>
        <v>2.7450000000000001</v>
      </c>
      <c r="X295" s="79">
        <f t="shared" si="18"/>
        <v>17.995000000000001</v>
      </c>
      <c r="Y295" s="44"/>
    </row>
    <row r="296" spans="1:25" ht="31.2">
      <c r="A296" s="73">
        <v>44636</v>
      </c>
      <c r="B296" s="30" t="s">
        <v>411</v>
      </c>
      <c r="C296" s="69" t="s">
        <v>21</v>
      </c>
      <c r="D296" s="70" t="s">
        <v>22</v>
      </c>
      <c r="E296" s="30">
        <v>1</v>
      </c>
      <c r="F296" s="30" t="s">
        <v>24</v>
      </c>
      <c r="G296" s="30">
        <v>4</v>
      </c>
      <c r="H296" s="30" t="s">
        <v>28</v>
      </c>
      <c r="I296" s="45" t="s">
        <v>49</v>
      </c>
      <c r="J296" s="71"/>
      <c r="K296" s="80"/>
      <c r="L296" s="73">
        <v>44636</v>
      </c>
      <c r="M296" s="30"/>
      <c r="N296" s="74" t="s">
        <v>214</v>
      </c>
      <c r="O296" s="30">
        <v>1</v>
      </c>
      <c r="P296" s="81"/>
      <c r="Q296" s="34" t="s">
        <v>27</v>
      </c>
      <c r="R296" s="75"/>
      <c r="S296" s="76"/>
      <c r="T296" s="77">
        <v>72.03</v>
      </c>
      <c r="U296" s="30">
        <f t="shared" si="17"/>
        <v>72.03</v>
      </c>
      <c r="V296" s="30">
        <f t="shared" si="19"/>
        <v>72.03</v>
      </c>
      <c r="W296" s="30">
        <f t="shared" si="20"/>
        <v>12.965399999999999</v>
      </c>
      <c r="X296" s="79">
        <f t="shared" si="18"/>
        <v>84.995400000000004</v>
      </c>
      <c r="Y296" s="44"/>
    </row>
    <row r="297" spans="1:25" ht="46.8">
      <c r="A297" s="73">
        <v>44636</v>
      </c>
      <c r="B297" s="30" t="s">
        <v>411</v>
      </c>
      <c r="C297" s="69" t="s">
        <v>21</v>
      </c>
      <c r="D297" s="70" t="s">
        <v>22</v>
      </c>
      <c r="E297" s="30">
        <v>1</v>
      </c>
      <c r="F297" s="30" t="s">
        <v>24</v>
      </c>
      <c r="G297" s="30">
        <v>4</v>
      </c>
      <c r="H297" s="30" t="s">
        <v>28</v>
      </c>
      <c r="I297" s="45" t="s">
        <v>170</v>
      </c>
      <c r="J297" s="71"/>
      <c r="K297" s="80"/>
      <c r="L297" s="73">
        <v>44636</v>
      </c>
      <c r="M297" s="30"/>
      <c r="N297" s="74" t="s">
        <v>214</v>
      </c>
      <c r="O297" s="30">
        <v>1</v>
      </c>
      <c r="P297" s="81"/>
      <c r="Q297" s="34" t="s">
        <v>27</v>
      </c>
      <c r="R297" s="75"/>
      <c r="S297" s="76"/>
      <c r="T297" s="77">
        <v>16.53</v>
      </c>
      <c r="U297" s="30">
        <f t="shared" si="17"/>
        <v>16.53</v>
      </c>
      <c r="V297" s="30">
        <f t="shared" si="19"/>
        <v>16.53</v>
      </c>
      <c r="W297" s="30">
        <f t="shared" si="20"/>
        <v>2.9754</v>
      </c>
      <c r="X297" s="79">
        <f t="shared" si="18"/>
        <v>19.505400000000002</v>
      </c>
      <c r="Y297" s="44"/>
    </row>
    <row r="298" spans="1:25" ht="31.2">
      <c r="A298" s="73">
        <v>44636</v>
      </c>
      <c r="B298" s="30" t="s">
        <v>411</v>
      </c>
      <c r="C298" s="69" t="s">
        <v>21</v>
      </c>
      <c r="D298" s="70" t="s">
        <v>22</v>
      </c>
      <c r="E298" s="30">
        <v>1</v>
      </c>
      <c r="F298" s="30" t="s">
        <v>24</v>
      </c>
      <c r="G298" s="30">
        <v>0.5</v>
      </c>
      <c r="H298" s="30" t="s">
        <v>28</v>
      </c>
      <c r="I298" s="45" t="s">
        <v>52</v>
      </c>
      <c r="J298" s="71"/>
      <c r="K298" s="80"/>
      <c r="L298" s="73">
        <v>44636</v>
      </c>
      <c r="M298" s="30"/>
      <c r="N298" s="74" t="s">
        <v>214</v>
      </c>
      <c r="O298" s="30">
        <v>1</v>
      </c>
      <c r="P298" s="81"/>
      <c r="Q298" s="34" t="s">
        <v>27</v>
      </c>
      <c r="R298" s="75"/>
      <c r="S298" s="76"/>
      <c r="T298" s="77">
        <v>6.78</v>
      </c>
      <c r="U298" s="30">
        <f t="shared" si="17"/>
        <v>6.78</v>
      </c>
      <c r="V298" s="30">
        <f t="shared" si="19"/>
        <v>6.78</v>
      </c>
      <c r="W298" s="30">
        <f t="shared" si="20"/>
        <v>1.2203999999999999</v>
      </c>
      <c r="X298" s="79">
        <f t="shared" si="18"/>
        <v>8.0004000000000008</v>
      </c>
      <c r="Y298" s="44"/>
    </row>
    <row r="299" spans="1:25" ht="46.8">
      <c r="A299" s="73">
        <v>44637</v>
      </c>
      <c r="B299" s="30" t="s">
        <v>412</v>
      </c>
      <c r="C299" s="69" t="s">
        <v>21</v>
      </c>
      <c r="D299" s="70" t="s">
        <v>22</v>
      </c>
      <c r="E299" s="30">
        <v>1</v>
      </c>
      <c r="F299" s="30" t="s">
        <v>24</v>
      </c>
      <c r="G299" s="30">
        <v>4</v>
      </c>
      <c r="H299" s="30" t="s">
        <v>28</v>
      </c>
      <c r="I299" s="45" t="s">
        <v>45</v>
      </c>
      <c r="J299" s="71"/>
      <c r="K299" s="80"/>
      <c r="L299" s="73">
        <v>44637</v>
      </c>
      <c r="M299" s="30"/>
      <c r="N299" s="74" t="s">
        <v>215</v>
      </c>
      <c r="O299" s="30">
        <v>1</v>
      </c>
      <c r="P299" s="81"/>
      <c r="Q299" s="34" t="s">
        <v>27</v>
      </c>
      <c r="R299" s="75"/>
      <c r="S299" s="76"/>
      <c r="T299" s="77">
        <v>34.75</v>
      </c>
      <c r="U299" s="30">
        <f t="shared" si="17"/>
        <v>34.75</v>
      </c>
      <c r="V299" s="30">
        <f t="shared" si="19"/>
        <v>34.75</v>
      </c>
      <c r="W299" s="30">
        <f t="shared" si="20"/>
        <v>6.2549999999999999</v>
      </c>
      <c r="X299" s="79">
        <f t="shared" si="18"/>
        <v>41.005000000000003</v>
      </c>
      <c r="Y299" s="44"/>
    </row>
    <row r="300" spans="1:25" ht="31.2">
      <c r="A300" s="73">
        <v>44637</v>
      </c>
      <c r="B300" s="30" t="s">
        <v>352</v>
      </c>
      <c r="C300" s="69" t="s">
        <v>21</v>
      </c>
      <c r="D300" s="70" t="s">
        <v>22</v>
      </c>
      <c r="E300" s="30">
        <v>1</v>
      </c>
      <c r="F300" s="30" t="s">
        <v>24</v>
      </c>
      <c r="G300" s="30">
        <v>0.5</v>
      </c>
      <c r="H300" s="30" t="s">
        <v>28</v>
      </c>
      <c r="I300" s="45" t="s">
        <v>117</v>
      </c>
      <c r="J300" s="71"/>
      <c r="K300" s="80"/>
      <c r="L300" s="73">
        <v>44637</v>
      </c>
      <c r="M300" s="30"/>
      <c r="N300" s="74" t="s">
        <v>216</v>
      </c>
      <c r="O300" s="30">
        <v>1</v>
      </c>
      <c r="P300" s="81"/>
      <c r="Q300" s="34" t="s">
        <v>27</v>
      </c>
      <c r="R300" s="75"/>
      <c r="S300" s="76"/>
      <c r="T300" s="77">
        <v>6.78</v>
      </c>
      <c r="U300" s="30">
        <f t="shared" si="17"/>
        <v>6.78</v>
      </c>
      <c r="V300" s="30">
        <f t="shared" si="19"/>
        <v>6.78</v>
      </c>
      <c r="W300" s="30">
        <f t="shared" si="20"/>
        <v>1.2203999999999999</v>
      </c>
      <c r="X300" s="79">
        <f t="shared" si="18"/>
        <v>8.0004000000000008</v>
      </c>
      <c r="Y300" s="44"/>
    </row>
    <row r="301" spans="1:25" ht="31.2">
      <c r="A301" s="73">
        <v>44637</v>
      </c>
      <c r="B301" s="30" t="s">
        <v>352</v>
      </c>
      <c r="C301" s="69" t="s">
        <v>21</v>
      </c>
      <c r="D301" s="70" t="s">
        <v>22</v>
      </c>
      <c r="E301" s="30">
        <v>1</v>
      </c>
      <c r="F301" s="30" t="s">
        <v>24</v>
      </c>
      <c r="G301" s="30">
        <v>0.5</v>
      </c>
      <c r="H301" s="30" t="s">
        <v>28</v>
      </c>
      <c r="I301" s="45" t="s">
        <v>82</v>
      </c>
      <c r="J301" s="71"/>
      <c r="K301" s="80"/>
      <c r="L301" s="73">
        <v>44637</v>
      </c>
      <c r="M301" s="30"/>
      <c r="N301" s="74" t="s">
        <v>216</v>
      </c>
      <c r="O301" s="30">
        <v>1</v>
      </c>
      <c r="P301" s="81"/>
      <c r="Q301" s="34" t="s">
        <v>27</v>
      </c>
      <c r="R301" s="75"/>
      <c r="S301" s="76"/>
      <c r="T301" s="77">
        <v>6.78</v>
      </c>
      <c r="U301" s="30">
        <f t="shared" si="17"/>
        <v>6.78</v>
      </c>
      <c r="V301" s="30">
        <f t="shared" si="19"/>
        <v>6.78</v>
      </c>
      <c r="W301" s="30">
        <f t="shared" si="20"/>
        <v>1.2203999999999999</v>
      </c>
      <c r="X301" s="79">
        <f t="shared" si="18"/>
        <v>8.0004000000000008</v>
      </c>
      <c r="Y301" s="44"/>
    </row>
    <row r="302" spans="1:25" ht="46.8">
      <c r="A302" s="73">
        <v>44638</v>
      </c>
      <c r="B302" s="30" t="s">
        <v>413</v>
      </c>
      <c r="C302" s="69" t="s">
        <v>21</v>
      </c>
      <c r="D302" s="70" t="s">
        <v>22</v>
      </c>
      <c r="E302" s="30">
        <v>1</v>
      </c>
      <c r="F302" s="30" t="s">
        <v>24</v>
      </c>
      <c r="G302" s="30">
        <v>4</v>
      </c>
      <c r="H302" s="30" t="s">
        <v>28</v>
      </c>
      <c r="I302" s="45" t="s">
        <v>170</v>
      </c>
      <c r="J302" s="71"/>
      <c r="K302" s="80"/>
      <c r="L302" s="73">
        <v>44638</v>
      </c>
      <c r="M302" s="30"/>
      <c r="N302" s="74" t="s">
        <v>217</v>
      </c>
      <c r="O302" s="30">
        <v>1</v>
      </c>
      <c r="P302" s="81"/>
      <c r="Q302" s="34" t="s">
        <v>27</v>
      </c>
      <c r="R302" s="75"/>
      <c r="S302" s="76"/>
      <c r="T302" s="77">
        <v>16.53</v>
      </c>
      <c r="U302" s="30">
        <f t="shared" si="17"/>
        <v>16.53</v>
      </c>
      <c r="V302" s="30">
        <f t="shared" si="19"/>
        <v>16.53</v>
      </c>
      <c r="W302" s="30">
        <f t="shared" si="20"/>
        <v>2.9754</v>
      </c>
      <c r="X302" s="79">
        <f t="shared" si="18"/>
        <v>19.505400000000002</v>
      </c>
      <c r="Y302" s="44"/>
    </row>
    <row r="303" spans="1:25" ht="31.2">
      <c r="A303" s="73">
        <v>44638</v>
      </c>
      <c r="B303" s="30" t="s">
        <v>413</v>
      </c>
      <c r="C303" s="69" t="s">
        <v>21</v>
      </c>
      <c r="D303" s="70" t="s">
        <v>22</v>
      </c>
      <c r="E303" s="30">
        <v>1</v>
      </c>
      <c r="F303" s="30" t="s">
        <v>24</v>
      </c>
      <c r="G303" s="30">
        <v>4</v>
      </c>
      <c r="H303" s="30" t="s">
        <v>28</v>
      </c>
      <c r="I303" s="45" t="s">
        <v>40</v>
      </c>
      <c r="J303" s="71"/>
      <c r="K303" s="80"/>
      <c r="L303" s="73">
        <v>44638</v>
      </c>
      <c r="M303" s="30"/>
      <c r="N303" s="74" t="s">
        <v>217</v>
      </c>
      <c r="O303" s="30">
        <v>1</v>
      </c>
      <c r="P303" s="81"/>
      <c r="Q303" s="34" t="s">
        <v>27</v>
      </c>
      <c r="R303" s="75"/>
      <c r="S303" s="76"/>
      <c r="T303" s="77">
        <v>16.95</v>
      </c>
      <c r="U303" s="30">
        <f t="shared" si="17"/>
        <v>16.95</v>
      </c>
      <c r="V303" s="30">
        <f t="shared" si="19"/>
        <v>16.95</v>
      </c>
      <c r="W303" s="30">
        <f t="shared" si="20"/>
        <v>3.0509999999999997</v>
      </c>
      <c r="X303" s="79">
        <f t="shared" si="18"/>
        <v>20.000999999999998</v>
      </c>
      <c r="Y303" s="44"/>
    </row>
    <row r="304" spans="1:25" ht="46.8">
      <c r="A304" s="73">
        <v>44638</v>
      </c>
      <c r="B304" s="30" t="s">
        <v>278</v>
      </c>
      <c r="C304" s="69" t="s">
        <v>21</v>
      </c>
      <c r="D304" s="70" t="s">
        <v>22</v>
      </c>
      <c r="E304" s="30">
        <v>1</v>
      </c>
      <c r="F304" s="30" t="s">
        <v>24</v>
      </c>
      <c r="G304" s="30">
        <v>4</v>
      </c>
      <c r="H304" s="30" t="s">
        <v>28</v>
      </c>
      <c r="I304" s="45" t="s">
        <v>80</v>
      </c>
      <c r="J304" s="71"/>
      <c r="K304" s="80"/>
      <c r="L304" s="73">
        <v>44638</v>
      </c>
      <c r="M304" s="30"/>
      <c r="N304" s="74" t="s">
        <v>218</v>
      </c>
      <c r="O304" s="30">
        <v>1</v>
      </c>
      <c r="P304" s="81"/>
      <c r="Q304" s="34" t="s">
        <v>27</v>
      </c>
      <c r="R304" s="75"/>
      <c r="S304" s="76"/>
      <c r="T304" s="77">
        <v>42.37</v>
      </c>
      <c r="U304" s="30">
        <f t="shared" si="17"/>
        <v>42.37</v>
      </c>
      <c r="V304" s="30">
        <f t="shared" si="19"/>
        <v>42.37</v>
      </c>
      <c r="W304" s="30">
        <f t="shared" si="20"/>
        <v>7.6265999999999989</v>
      </c>
      <c r="X304" s="79">
        <f t="shared" si="18"/>
        <v>49.996599999999994</v>
      </c>
      <c r="Y304" s="44"/>
    </row>
    <row r="305" spans="1:25" ht="46.8">
      <c r="A305" s="73">
        <v>44641</v>
      </c>
      <c r="B305" s="30" t="s">
        <v>414</v>
      </c>
      <c r="C305" s="69" t="s">
        <v>21</v>
      </c>
      <c r="D305" s="70" t="s">
        <v>22</v>
      </c>
      <c r="E305" s="30">
        <v>2</v>
      </c>
      <c r="F305" s="30" t="s">
        <v>24</v>
      </c>
      <c r="G305" s="30">
        <v>4</v>
      </c>
      <c r="H305" s="30" t="s">
        <v>28</v>
      </c>
      <c r="I305" s="45" t="s">
        <v>45</v>
      </c>
      <c r="J305" s="71"/>
      <c r="K305" s="80"/>
      <c r="L305" s="73">
        <v>44641</v>
      </c>
      <c r="M305" s="30"/>
      <c r="N305" s="74" t="s">
        <v>219</v>
      </c>
      <c r="O305" s="30">
        <v>1</v>
      </c>
      <c r="P305" s="81"/>
      <c r="Q305" s="34" t="s">
        <v>27</v>
      </c>
      <c r="R305" s="75"/>
      <c r="S305" s="76"/>
      <c r="T305" s="77">
        <v>34.75</v>
      </c>
      <c r="U305" s="30">
        <f t="shared" si="17"/>
        <v>69.5</v>
      </c>
      <c r="V305" s="30">
        <f t="shared" si="19"/>
        <v>69.5</v>
      </c>
      <c r="W305" s="30">
        <f t="shared" si="20"/>
        <v>12.51</v>
      </c>
      <c r="X305" s="79">
        <f t="shared" si="18"/>
        <v>82.01</v>
      </c>
      <c r="Y305" s="44"/>
    </row>
    <row r="306" spans="1:25" ht="15.6">
      <c r="A306" s="73">
        <v>44641</v>
      </c>
      <c r="B306" s="30" t="s">
        <v>415</v>
      </c>
      <c r="C306" s="69" t="s">
        <v>21</v>
      </c>
      <c r="D306" s="70" t="s">
        <v>22</v>
      </c>
      <c r="E306" s="30">
        <v>1</v>
      </c>
      <c r="F306" s="30" t="s">
        <v>24</v>
      </c>
      <c r="G306" s="30">
        <v>1</v>
      </c>
      <c r="H306" s="30" t="s">
        <v>28</v>
      </c>
      <c r="I306" s="45" t="s">
        <v>35</v>
      </c>
      <c r="J306" s="71"/>
      <c r="K306" s="80"/>
      <c r="L306" s="73">
        <v>44641</v>
      </c>
      <c r="M306" s="30"/>
      <c r="N306" s="74" t="s">
        <v>220</v>
      </c>
      <c r="O306" s="30">
        <v>1</v>
      </c>
      <c r="P306" s="81"/>
      <c r="Q306" s="34" t="s">
        <v>27</v>
      </c>
      <c r="R306" s="75"/>
      <c r="S306" s="76"/>
      <c r="T306" s="77">
        <v>8.0500000000000007</v>
      </c>
      <c r="U306" s="30">
        <f t="shared" si="17"/>
        <v>8.0500000000000007</v>
      </c>
      <c r="V306" s="30">
        <f t="shared" si="19"/>
        <v>8.0500000000000007</v>
      </c>
      <c r="W306" s="30">
        <f t="shared" si="20"/>
        <v>1.4490000000000001</v>
      </c>
      <c r="X306" s="79">
        <f t="shared" si="18"/>
        <v>9.4990000000000006</v>
      </c>
      <c r="Y306" s="44"/>
    </row>
    <row r="307" spans="1:25" ht="31.2">
      <c r="A307" s="73">
        <v>44641</v>
      </c>
      <c r="B307" s="30" t="s">
        <v>416</v>
      </c>
      <c r="C307" s="69" t="s">
        <v>21</v>
      </c>
      <c r="D307" s="70" t="s">
        <v>22</v>
      </c>
      <c r="E307" s="30">
        <v>1</v>
      </c>
      <c r="F307" s="30" t="s">
        <v>24</v>
      </c>
      <c r="G307" s="30">
        <v>1</v>
      </c>
      <c r="H307" s="30" t="s">
        <v>28</v>
      </c>
      <c r="I307" s="45" t="s">
        <v>82</v>
      </c>
      <c r="J307" s="71"/>
      <c r="K307" s="80"/>
      <c r="L307" s="73">
        <v>44641</v>
      </c>
      <c r="M307" s="30"/>
      <c r="N307" s="74" t="s">
        <v>221</v>
      </c>
      <c r="O307" s="30">
        <v>1</v>
      </c>
      <c r="P307" s="81"/>
      <c r="Q307" s="34" t="s">
        <v>27</v>
      </c>
      <c r="R307" s="75"/>
      <c r="S307" s="76"/>
      <c r="T307" s="77">
        <v>10.17</v>
      </c>
      <c r="U307" s="30">
        <f t="shared" si="17"/>
        <v>10.17</v>
      </c>
      <c r="V307" s="30">
        <f t="shared" si="19"/>
        <v>10.17</v>
      </c>
      <c r="W307" s="30">
        <f t="shared" si="20"/>
        <v>1.8306</v>
      </c>
      <c r="X307" s="79">
        <f t="shared" si="18"/>
        <v>12.0006</v>
      </c>
      <c r="Y307" s="44"/>
    </row>
    <row r="308" spans="1:25" ht="46.8">
      <c r="A308" s="73">
        <v>44641</v>
      </c>
      <c r="B308" s="30" t="s">
        <v>416</v>
      </c>
      <c r="C308" s="69" t="s">
        <v>21</v>
      </c>
      <c r="D308" s="70" t="s">
        <v>22</v>
      </c>
      <c r="E308" s="30">
        <v>1</v>
      </c>
      <c r="F308" s="30" t="s">
        <v>24</v>
      </c>
      <c r="G308" s="30">
        <v>4</v>
      </c>
      <c r="H308" s="30" t="s">
        <v>28</v>
      </c>
      <c r="I308" s="45" t="s">
        <v>73</v>
      </c>
      <c r="J308" s="71"/>
      <c r="K308" s="80"/>
      <c r="L308" s="73">
        <v>44641</v>
      </c>
      <c r="M308" s="30"/>
      <c r="N308" s="74" t="s">
        <v>222</v>
      </c>
      <c r="O308" s="30">
        <v>1</v>
      </c>
      <c r="P308" s="81"/>
      <c r="Q308" s="34" t="s">
        <v>27</v>
      </c>
      <c r="R308" s="75"/>
      <c r="S308" s="76"/>
      <c r="T308" s="77">
        <v>31.36</v>
      </c>
      <c r="U308" s="30">
        <f t="shared" si="17"/>
        <v>31.36</v>
      </c>
      <c r="V308" s="30">
        <f t="shared" si="19"/>
        <v>31.36</v>
      </c>
      <c r="W308" s="30">
        <f t="shared" si="20"/>
        <v>5.6448</v>
      </c>
      <c r="X308" s="79">
        <f t="shared" si="18"/>
        <v>37.004800000000003</v>
      </c>
      <c r="Y308" s="44"/>
    </row>
    <row r="309" spans="1:25" ht="46.8">
      <c r="A309" s="73">
        <v>44641</v>
      </c>
      <c r="B309" s="30" t="s">
        <v>417</v>
      </c>
      <c r="C309" s="69" t="s">
        <v>21</v>
      </c>
      <c r="D309" s="70" t="s">
        <v>22</v>
      </c>
      <c r="E309" s="30">
        <v>3</v>
      </c>
      <c r="F309" s="30" t="s">
        <v>24</v>
      </c>
      <c r="G309" s="30">
        <v>20</v>
      </c>
      <c r="H309" s="30" t="s">
        <v>28</v>
      </c>
      <c r="I309" s="45" t="s">
        <v>223</v>
      </c>
      <c r="J309" s="71"/>
      <c r="K309" s="80"/>
      <c r="L309" s="73">
        <v>44641</v>
      </c>
      <c r="M309" s="30"/>
      <c r="N309" s="74">
        <v>80</v>
      </c>
      <c r="O309" s="30">
        <v>1</v>
      </c>
      <c r="P309" s="81"/>
      <c r="Q309" s="34" t="s">
        <v>27</v>
      </c>
      <c r="R309" s="75"/>
      <c r="S309" s="76">
        <v>1.99</v>
      </c>
      <c r="T309" s="77">
        <f>+S309*G309</f>
        <v>39.799999999999997</v>
      </c>
      <c r="U309" s="30">
        <f t="shared" si="17"/>
        <v>119.39999999999999</v>
      </c>
      <c r="V309" s="30">
        <f t="shared" si="19"/>
        <v>119.39999999999999</v>
      </c>
      <c r="W309" s="30">
        <f t="shared" si="20"/>
        <v>21.491999999999997</v>
      </c>
      <c r="X309" s="79">
        <f t="shared" si="18"/>
        <v>140.892</v>
      </c>
      <c r="Y309" s="44"/>
    </row>
    <row r="310" spans="1:25" ht="15.6">
      <c r="A310" s="73">
        <v>44642</v>
      </c>
      <c r="B310" s="30" t="s">
        <v>418</v>
      </c>
      <c r="C310" s="69" t="s">
        <v>21</v>
      </c>
      <c r="D310" s="70" t="s">
        <v>22</v>
      </c>
      <c r="E310" s="30">
        <v>2</v>
      </c>
      <c r="F310" s="30" t="s">
        <v>24</v>
      </c>
      <c r="G310" s="30">
        <v>4</v>
      </c>
      <c r="H310" s="30" t="s">
        <v>28</v>
      </c>
      <c r="I310" s="45" t="s">
        <v>35</v>
      </c>
      <c r="J310" s="71"/>
      <c r="K310" s="80"/>
      <c r="L310" s="73">
        <v>44642</v>
      </c>
      <c r="M310" s="30"/>
      <c r="N310" s="74" t="s">
        <v>224</v>
      </c>
      <c r="O310" s="30">
        <v>1</v>
      </c>
      <c r="P310" s="81"/>
      <c r="Q310" s="34" t="s">
        <v>27</v>
      </c>
      <c r="R310" s="75"/>
      <c r="S310" s="76"/>
      <c r="T310" s="77">
        <v>23.73</v>
      </c>
      <c r="U310" s="30">
        <f t="shared" si="17"/>
        <v>47.46</v>
      </c>
      <c r="V310" s="30">
        <f t="shared" si="19"/>
        <v>47.46</v>
      </c>
      <c r="W310" s="30">
        <f t="shared" si="20"/>
        <v>8.5427999999999997</v>
      </c>
      <c r="X310" s="79">
        <f t="shared" si="18"/>
        <v>56.002800000000001</v>
      </c>
      <c r="Y310" s="44"/>
    </row>
    <row r="311" spans="1:25" ht="31.2">
      <c r="A311" s="73">
        <v>44642</v>
      </c>
      <c r="B311" s="30" t="s">
        <v>419</v>
      </c>
      <c r="C311" s="69" t="s">
        <v>21</v>
      </c>
      <c r="D311" s="70" t="s">
        <v>22</v>
      </c>
      <c r="E311" s="30">
        <v>1</v>
      </c>
      <c r="F311" s="30" t="s">
        <v>24</v>
      </c>
      <c r="G311" s="30">
        <v>0.5</v>
      </c>
      <c r="H311" s="30" t="s">
        <v>28</v>
      </c>
      <c r="I311" s="45" t="s">
        <v>201</v>
      </c>
      <c r="J311" s="71"/>
      <c r="K311" s="80"/>
      <c r="L311" s="73">
        <v>44642</v>
      </c>
      <c r="M311" s="30"/>
      <c r="N311" s="74" t="s">
        <v>225</v>
      </c>
      <c r="O311" s="30">
        <v>1</v>
      </c>
      <c r="P311" s="81"/>
      <c r="Q311" s="34" t="s">
        <v>27</v>
      </c>
      <c r="R311" s="75"/>
      <c r="S311" s="76"/>
      <c r="T311" s="77">
        <v>6.78</v>
      </c>
      <c r="U311" s="30">
        <f t="shared" si="17"/>
        <v>6.78</v>
      </c>
      <c r="V311" s="30">
        <f t="shared" si="19"/>
        <v>6.78</v>
      </c>
      <c r="W311" s="30">
        <f t="shared" si="20"/>
        <v>1.2203999999999999</v>
      </c>
      <c r="X311" s="79">
        <f t="shared" si="18"/>
        <v>8.0004000000000008</v>
      </c>
      <c r="Y311" s="44"/>
    </row>
    <row r="312" spans="1:25" ht="31.2">
      <c r="A312" s="73">
        <v>44644</v>
      </c>
      <c r="B312" s="30" t="s">
        <v>300</v>
      </c>
      <c r="C312" s="69" t="s">
        <v>21</v>
      </c>
      <c r="D312" s="70" t="s">
        <v>22</v>
      </c>
      <c r="E312" s="30">
        <v>1</v>
      </c>
      <c r="F312" s="30" t="s">
        <v>24</v>
      </c>
      <c r="G312" s="30">
        <v>1</v>
      </c>
      <c r="H312" s="30" t="s">
        <v>28</v>
      </c>
      <c r="I312" s="45" t="s">
        <v>82</v>
      </c>
      <c r="J312" s="71"/>
      <c r="K312" s="80"/>
      <c r="L312" s="73">
        <v>44644</v>
      </c>
      <c r="M312" s="30"/>
      <c r="N312" s="74" t="s">
        <v>226</v>
      </c>
      <c r="O312" s="30">
        <v>1</v>
      </c>
      <c r="P312" s="81"/>
      <c r="Q312" s="34" t="s">
        <v>27</v>
      </c>
      <c r="R312" s="75"/>
      <c r="S312" s="76"/>
      <c r="T312" s="77">
        <v>10.17</v>
      </c>
      <c r="U312" s="30">
        <f t="shared" si="17"/>
        <v>10.17</v>
      </c>
      <c r="V312" s="30">
        <f t="shared" si="19"/>
        <v>10.17</v>
      </c>
      <c r="W312" s="30">
        <f t="shared" si="20"/>
        <v>1.8306</v>
      </c>
      <c r="X312" s="79">
        <f t="shared" si="18"/>
        <v>12.0006</v>
      </c>
      <c r="Y312" s="44"/>
    </row>
    <row r="313" spans="1:25" ht="62.4">
      <c r="A313" s="73">
        <v>44644</v>
      </c>
      <c r="B313" s="30" t="s">
        <v>420</v>
      </c>
      <c r="C313" s="69" t="s">
        <v>21</v>
      </c>
      <c r="D313" s="70" t="s">
        <v>22</v>
      </c>
      <c r="E313" s="30">
        <v>1</v>
      </c>
      <c r="F313" s="30" t="s">
        <v>24</v>
      </c>
      <c r="G313" s="30">
        <v>1</v>
      </c>
      <c r="H313" s="30" t="s">
        <v>32</v>
      </c>
      <c r="I313" s="45" t="s">
        <v>196</v>
      </c>
      <c r="J313" s="71"/>
      <c r="K313" s="80"/>
      <c r="L313" s="73">
        <v>44644</v>
      </c>
      <c r="M313" s="30"/>
      <c r="N313" s="74" t="s">
        <v>227</v>
      </c>
      <c r="O313" s="30">
        <v>1</v>
      </c>
      <c r="P313" s="81"/>
      <c r="Q313" s="34" t="s">
        <v>27</v>
      </c>
      <c r="R313" s="75"/>
      <c r="S313" s="76"/>
      <c r="T313" s="77">
        <v>77.97</v>
      </c>
      <c r="U313" s="30">
        <f t="shared" si="17"/>
        <v>77.97</v>
      </c>
      <c r="V313" s="30">
        <f t="shared" si="19"/>
        <v>77.97</v>
      </c>
      <c r="W313" s="30">
        <f t="shared" si="20"/>
        <v>14.034599999999999</v>
      </c>
      <c r="X313" s="79">
        <f t="shared" si="18"/>
        <v>92.004599999999996</v>
      </c>
      <c r="Y313" s="44"/>
    </row>
    <row r="314" spans="1:25" ht="31.2">
      <c r="A314" s="73">
        <v>44644</v>
      </c>
      <c r="B314" s="30" t="s">
        <v>421</v>
      </c>
      <c r="C314" s="69" t="s">
        <v>21</v>
      </c>
      <c r="D314" s="70" t="s">
        <v>22</v>
      </c>
      <c r="E314" s="30">
        <v>1</v>
      </c>
      <c r="F314" s="30" t="s">
        <v>24</v>
      </c>
      <c r="G314" s="30">
        <v>4</v>
      </c>
      <c r="H314" s="30" t="s">
        <v>28</v>
      </c>
      <c r="I314" s="45" t="s">
        <v>49</v>
      </c>
      <c r="J314" s="71"/>
      <c r="K314" s="80"/>
      <c r="L314" s="73">
        <v>44644</v>
      </c>
      <c r="M314" s="30"/>
      <c r="N314" s="74">
        <v>81</v>
      </c>
      <c r="O314" s="30">
        <v>1</v>
      </c>
      <c r="P314" s="81"/>
      <c r="Q314" s="34" t="s">
        <v>27</v>
      </c>
      <c r="R314" s="75"/>
      <c r="S314" s="76"/>
      <c r="T314" s="77">
        <v>72.03</v>
      </c>
      <c r="U314" s="30">
        <f t="shared" ref="U314:U342" si="21">(T314*E314)-R314</f>
        <v>72.03</v>
      </c>
      <c r="V314" s="30">
        <f t="shared" si="19"/>
        <v>72.03</v>
      </c>
      <c r="W314" s="30">
        <f t="shared" si="20"/>
        <v>12.965399999999999</v>
      </c>
      <c r="X314" s="79">
        <f t="shared" si="18"/>
        <v>84.995400000000004</v>
      </c>
      <c r="Y314" s="44"/>
    </row>
    <row r="315" spans="1:25" ht="46.8">
      <c r="A315" s="73">
        <v>44644</v>
      </c>
      <c r="B315" s="30" t="s">
        <v>421</v>
      </c>
      <c r="C315" s="69" t="s">
        <v>21</v>
      </c>
      <c r="D315" s="70" t="s">
        <v>22</v>
      </c>
      <c r="E315" s="30">
        <v>1</v>
      </c>
      <c r="F315" s="30" t="s">
        <v>24</v>
      </c>
      <c r="G315" s="30">
        <v>4</v>
      </c>
      <c r="H315" s="30" t="s">
        <v>28</v>
      </c>
      <c r="I315" s="45" t="s">
        <v>142</v>
      </c>
      <c r="J315" s="71"/>
      <c r="K315" s="80"/>
      <c r="L315" s="73">
        <v>44644</v>
      </c>
      <c r="M315" s="30"/>
      <c r="N315" s="74">
        <v>81</v>
      </c>
      <c r="O315" s="30">
        <v>1</v>
      </c>
      <c r="P315" s="81"/>
      <c r="Q315" s="34" t="s">
        <v>27</v>
      </c>
      <c r="R315" s="75"/>
      <c r="S315" s="76"/>
      <c r="T315" s="77">
        <v>21.19</v>
      </c>
      <c r="U315" s="30">
        <f t="shared" si="21"/>
        <v>21.19</v>
      </c>
      <c r="V315" s="30">
        <f t="shared" si="19"/>
        <v>21.19</v>
      </c>
      <c r="W315" s="30">
        <f t="shared" si="20"/>
        <v>3.8142</v>
      </c>
      <c r="X315" s="79">
        <f t="shared" si="18"/>
        <v>25.004200000000001</v>
      </c>
      <c r="Y315" s="44"/>
    </row>
    <row r="316" spans="1:25" ht="46.8">
      <c r="A316" s="73">
        <v>44645</v>
      </c>
      <c r="B316" s="30" t="s">
        <v>422</v>
      </c>
      <c r="C316" s="69" t="s">
        <v>21</v>
      </c>
      <c r="D316" s="70" t="s">
        <v>22</v>
      </c>
      <c r="E316" s="30">
        <v>1</v>
      </c>
      <c r="F316" s="30" t="s">
        <v>24</v>
      </c>
      <c r="G316" s="30">
        <v>4</v>
      </c>
      <c r="H316" s="30" t="s">
        <v>28</v>
      </c>
      <c r="I316" s="45" t="s">
        <v>73</v>
      </c>
      <c r="J316" s="71"/>
      <c r="K316" s="80"/>
      <c r="L316" s="73">
        <v>44645</v>
      </c>
      <c r="M316" s="30"/>
      <c r="N316" s="74" t="s">
        <v>228</v>
      </c>
      <c r="O316" s="30">
        <v>1</v>
      </c>
      <c r="P316" s="81"/>
      <c r="Q316" s="34" t="s">
        <v>27</v>
      </c>
      <c r="R316" s="75"/>
      <c r="S316" s="76"/>
      <c r="T316" s="77">
        <v>31.36</v>
      </c>
      <c r="U316" s="30">
        <f t="shared" si="21"/>
        <v>31.36</v>
      </c>
      <c r="V316" s="30">
        <f t="shared" si="19"/>
        <v>31.36</v>
      </c>
      <c r="W316" s="30">
        <f t="shared" si="20"/>
        <v>5.6448</v>
      </c>
      <c r="X316" s="79">
        <f t="shared" si="18"/>
        <v>37.004800000000003</v>
      </c>
      <c r="Y316" s="44"/>
    </row>
    <row r="317" spans="1:25" ht="46.8">
      <c r="A317" s="73">
        <v>44645</v>
      </c>
      <c r="B317" s="30" t="s">
        <v>417</v>
      </c>
      <c r="C317" s="69" t="s">
        <v>21</v>
      </c>
      <c r="D317" s="70" t="s">
        <v>22</v>
      </c>
      <c r="E317" s="30">
        <v>3</v>
      </c>
      <c r="F317" s="30" t="s">
        <v>24</v>
      </c>
      <c r="G317" s="30">
        <v>20</v>
      </c>
      <c r="H317" s="30" t="s">
        <v>28</v>
      </c>
      <c r="I317" s="45" t="s">
        <v>223</v>
      </c>
      <c r="J317" s="71"/>
      <c r="K317" s="80"/>
      <c r="L317" s="73">
        <v>44645</v>
      </c>
      <c r="M317" s="30"/>
      <c r="N317" s="74">
        <v>82</v>
      </c>
      <c r="O317" s="30">
        <v>1</v>
      </c>
      <c r="P317" s="81"/>
      <c r="Q317" s="34" t="s">
        <v>27</v>
      </c>
      <c r="R317" s="75"/>
      <c r="S317" s="76">
        <v>1</v>
      </c>
      <c r="T317" s="77">
        <f>+S317*G317</f>
        <v>20</v>
      </c>
      <c r="U317" s="30">
        <f t="shared" si="21"/>
        <v>60</v>
      </c>
      <c r="V317" s="30">
        <f t="shared" si="19"/>
        <v>60</v>
      </c>
      <c r="W317" s="30">
        <f t="shared" si="20"/>
        <v>10.799999999999999</v>
      </c>
      <c r="X317" s="79">
        <f t="shared" si="18"/>
        <v>70.8</v>
      </c>
      <c r="Y317" s="44"/>
    </row>
    <row r="318" spans="1:25" ht="46.8">
      <c r="A318" s="73">
        <v>44645</v>
      </c>
      <c r="B318" s="30" t="s">
        <v>417</v>
      </c>
      <c r="C318" s="69" t="s">
        <v>21</v>
      </c>
      <c r="D318" s="70" t="s">
        <v>22</v>
      </c>
      <c r="E318" s="30">
        <v>3</v>
      </c>
      <c r="F318" s="30" t="s">
        <v>24</v>
      </c>
      <c r="G318" s="30">
        <v>20</v>
      </c>
      <c r="H318" s="30" t="s">
        <v>28</v>
      </c>
      <c r="I318" s="45" t="s">
        <v>223</v>
      </c>
      <c r="J318" s="71"/>
      <c r="K318" s="80"/>
      <c r="L318" s="73">
        <v>44645</v>
      </c>
      <c r="M318" s="30"/>
      <c r="N318" s="74">
        <v>83</v>
      </c>
      <c r="O318" s="30">
        <v>1</v>
      </c>
      <c r="P318" s="81"/>
      <c r="Q318" s="34" t="s">
        <v>27</v>
      </c>
      <c r="R318" s="75"/>
      <c r="S318" s="76">
        <v>1.99</v>
      </c>
      <c r="T318" s="77">
        <f>+S318*G318</f>
        <v>39.799999999999997</v>
      </c>
      <c r="U318" s="30">
        <f t="shared" si="21"/>
        <v>119.39999999999999</v>
      </c>
      <c r="V318" s="30">
        <f t="shared" si="19"/>
        <v>119.39999999999999</v>
      </c>
      <c r="W318" s="30">
        <f t="shared" si="20"/>
        <v>21.491999999999997</v>
      </c>
      <c r="X318" s="79">
        <f t="shared" si="18"/>
        <v>140.892</v>
      </c>
      <c r="Y318" s="44"/>
    </row>
    <row r="319" spans="1:25" ht="31.2">
      <c r="A319" s="73">
        <v>44645</v>
      </c>
      <c r="B319" s="30" t="s">
        <v>293</v>
      </c>
      <c r="C319" s="69" t="s">
        <v>21</v>
      </c>
      <c r="D319" s="70" t="s">
        <v>22</v>
      </c>
      <c r="E319" s="30">
        <v>1</v>
      </c>
      <c r="F319" s="30" t="s">
        <v>24</v>
      </c>
      <c r="G319" s="30">
        <v>4</v>
      </c>
      <c r="H319" s="30" t="s">
        <v>28</v>
      </c>
      <c r="I319" s="45" t="s">
        <v>82</v>
      </c>
      <c r="J319" s="71"/>
      <c r="K319" s="80"/>
      <c r="L319" s="73">
        <v>44645</v>
      </c>
      <c r="M319" s="30"/>
      <c r="N319" s="74">
        <v>84</v>
      </c>
      <c r="O319" s="30">
        <v>1</v>
      </c>
      <c r="P319" s="81"/>
      <c r="Q319" s="34" t="s">
        <v>27</v>
      </c>
      <c r="R319" s="75"/>
      <c r="S319" s="76"/>
      <c r="T319" s="77">
        <v>38.14</v>
      </c>
      <c r="U319" s="30">
        <f t="shared" si="21"/>
        <v>38.14</v>
      </c>
      <c r="V319" s="30">
        <f t="shared" si="19"/>
        <v>38.14</v>
      </c>
      <c r="W319" s="30">
        <f t="shared" si="20"/>
        <v>6.8651999999999997</v>
      </c>
      <c r="X319" s="79">
        <f t="shared" si="18"/>
        <v>45.005200000000002</v>
      </c>
      <c r="Y319" s="44"/>
    </row>
    <row r="320" spans="1:25" ht="31.2">
      <c r="A320" s="73">
        <v>44645</v>
      </c>
      <c r="B320" s="30" t="s">
        <v>422</v>
      </c>
      <c r="C320" s="69" t="s">
        <v>21</v>
      </c>
      <c r="D320" s="70" t="s">
        <v>22</v>
      </c>
      <c r="E320" s="30">
        <v>1</v>
      </c>
      <c r="F320" s="30" t="s">
        <v>24</v>
      </c>
      <c r="G320" s="30">
        <v>0.5</v>
      </c>
      <c r="H320" s="30" t="s">
        <v>28</v>
      </c>
      <c r="I320" s="45" t="s">
        <v>51</v>
      </c>
      <c r="J320" s="71"/>
      <c r="K320" s="80"/>
      <c r="L320" s="73">
        <v>44645</v>
      </c>
      <c r="M320" s="30"/>
      <c r="N320" s="74" t="s">
        <v>229</v>
      </c>
      <c r="O320" s="30">
        <v>1</v>
      </c>
      <c r="P320" s="81"/>
      <c r="Q320" s="34" t="s">
        <v>27</v>
      </c>
      <c r="R320" s="75"/>
      <c r="S320" s="76"/>
      <c r="T320" s="77">
        <v>6.78</v>
      </c>
      <c r="U320" s="30">
        <f t="shared" si="21"/>
        <v>6.78</v>
      </c>
      <c r="V320" s="30">
        <f t="shared" si="19"/>
        <v>6.78</v>
      </c>
      <c r="W320" s="30">
        <f t="shared" si="20"/>
        <v>1.2203999999999999</v>
      </c>
      <c r="X320" s="79">
        <f t="shared" si="18"/>
        <v>8.0004000000000008</v>
      </c>
      <c r="Y320" s="44"/>
    </row>
    <row r="321" spans="1:25" ht="31.2">
      <c r="A321" s="73">
        <v>44645</v>
      </c>
      <c r="B321" s="30" t="s">
        <v>423</v>
      </c>
      <c r="C321" s="69" t="s">
        <v>21</v>
      </c>
      <c r="D321" s="70" t="s">
        <v>22</v>
      </c>
      <c r="E321" s="30">
        <v>1</v>
      </c>
      <c r="F321" s="30" t="s">
        <v>24</v>
      </c>
      <c r="G321" s="30">
        <v>0.5</v>
      </c>
      <c r="H321" s="30" t="s">
        <v>28</v>
      </c>
      <c r="I321" s="45" t="s">
        <v>40</v>
      </c>
      <c r="J321" s="71"/>
      <c r="K321" s="80"/>
      <c r="L321" s="73">
        <v>44645</v>
      </c>
      <c r="M321" s="30"/>
      <c r="N321" s="74" t="s">
        <v>230</v>
      </c>
      <c r="O321" s="30">
        <v>1</v>
      </c>
      <c r="P321" s="81"/>
      <c r="Q321" s="34" t="s">
        <v>27</v>
      </c>
      <c r="R321" s="75"/>
      <c r="S321" s="76"/>
      <c r="T321" s="77">
        <v>6.78</v>
      </c>
      <c r="U321" s="30">
        <f t="shared" si="21"/>
        <v>6.78</v>
      </c>
      <c r="V321" s="30">
        <f t="shared" si="19"/>
        <v>6.78</v>
      </c>
      <c r="W321" s="30">
        <f t="shared" si="20"/>
        <v>1.2203999999999999</v>
      </c>
      <c r="X321" s="79">
        <f t="shared" si="18"/>
        <v>8.0004000000000008</v>
      </c>
      <c r="Y321" s="44"/>
    </row>
    <row r="322" spans="1:25" ht="31.2">
      <c r="A322" s="73">
        <v>44646</v>
      </c>
      <c r="B322" s="30" t="s">
        <v>424</v>
      </c>
      <c r="C322" s="69" t="s">
        <v>21</v>
      </c>
      <c r="D322" s="70" t="s">
        <v>22</v>
      </c>
      <c r="E322" s="30">
        <v>1</v>
      </c>
      <c r="F322" s="30" t="s">
        <v>24</v>
      </c>
      <c r="G322" s="30">
        <v>1</v>
      </c>
      <c r="H322" s="30" t="s">
        <v>32</v>
      </c>
      <c r="I322" s="45" t="s">
        <v>231</v>
      </c>
      <c r="J322" s="71"/>
      <c r="K322" s="80"/>
      <c r="L322" s="73">
        <v>44646</v>
      </c>
      <c r="M322" s="30"/>
      <c r="N322" s="74" t="s">
        <v>232</v>
      </c>
      <c r="O322" s="30">
        <v>1</v>
      </c>
      <c r="P322" s="81"/>
      <c r="Q322" s="34" t="s">
        <v>27</v>
      </c>
      <c r="R322" s="75"/>
      <c r="S322" s="76"/>
      <c r="T322" s="77">
        <v>1.19</v>
      </c>
      <c r="U322" s="30">
        <f t="shared" si="21"/>
        <v>1.19</v>
      </c>
      <c r="V322" s="30">
        <f t="shared" si="19"/>
        <v>1.19</v>
      </c>
      <c r="W322" s="30">
        <f t="shared" si="20"/>
        <v>0.21419999999999997</v>
      </c>
      <c r="X322" s="79">
        <f t="shared" si="18"/>
        <v>1.4041999999999999</v>
      </c>
      <c r="Y322" s="44"/>
    </row>
    <row r="323" spans="1:25" ht="31.2">
      <c r="A323" s="73">
        <v>44646</v>
      </c>
      <c r="B323" s="30" t="s">
        <v>424</v>
      </c>
      <c r="C323" s="69" t="s">
        <v>21</v>
      </c>
      <c r="D323" s="70" t="s">
        <v>22</v>
      </c>
      <c r="E323" s="30">
        <v>1</v>
      </c>
      <c r="F323" s="30" t="s">
        <v>24</v>
      </c>
      <c r="G323" s="30">
        <v>0.5</v>
      </c>
      <c r="H323" s="30" t="s">
        <v>28</v>
      </c>
      <c r="I323" s="45" t="s">
        <v>57</v>
      </c>
      <c r="J323" s="71"/>
      <c r="K323" s="80"/>
      <c r="L323" s="73">
        <v>44646</v>
      </c>
      <c r="M323" s="30"/>
      <c r="N323" s="74" t="s">
        <v>232</v>
      </c>
      <c r="O323" s="30">
        <v>1</v>
      </c>
      <c r="P323" s="81"/>
      <c r="Q323" s="34" t="s">
        <v>27</v>
      </c>
      <c r="R323" s="75"/>
      <c r="S323" s="76"/>
      <c r="T323" s="77">
        <v>6.78</v>
      </c>
      <c r="U323" s="30">
        <f t="shared" si="21"/>
        <v>6.78</v>
      </c>
      <c r="V323" s="30">
        <f t="shared" si="19"/>
        <v>6.78</v>
      </c>
      <c r="W323" s="30">
        <f t="shared" si="20"/>
        <v>1.2203999999999999</v>
      </c>
      <c r="X323" s="79">
        <f t="shared" si="18"/>
        <v>8.0004000000000008</v>
      </c>
      <c r="Y323" s="44"/>
    </row>
    <row r="324" spans="1:25" ht="31.2">
      <c r="A324" s="73">
        <v>44646</v>
      </c>
      <c r="B324" s="30" t="s">
        <v>424</v>
      </c>
      <c r="C324" s="69" t="s">
        <v>21</v>
      </c>
      <c r="D324" s="70" t="s">
        <v>22</v>
      </c>
      <c r="E324" s="30">
        <v>1</v>
      </c>
      <c r="F324" s="30" t="s">
        <v>24</v>
      </c>
      <c r="G324" s="30">
        <v>1</v>
      </c>
      <c r="H324" s="30" t="s">
        <v>28</v>
      </c>
      <c r="I324" s="45" t="s">
        <v>82</v>
      </c>
      <c r="J324" s="71"/>
      <c r="K324" s="80"/>
      <c r="L324" s="73">
        <v>44646</v>
      </c>
      <c r="M324" s="30"/>
      <c r="N324" s="74" t="s">
        <v>232</v>
      </c>
      <c r="O324" s="30">
        <v>1</v>
      </c>
      <c r="P324" s="81"/>
      <c r="Q324" s="34" t="s">
        <v>27</v>
      </c>
      <c r="R324" s="75"/>
      <c r="S324" s="76"/>
      <c r="T324" s="77">
        <v>10.17</v>
      </c>
      <c r="U324" s="30">
        <f t="shared" si="21"/>
        <v>10.17</v>
      </c>
      <c r="V324" s="30">
        <f t="shared" si="19"/>
        <v>10.17</v>
      </c>
      <c r="W324" s="30">
        <f t="shared" si="20"/>
        <v>1.8306</v>
      </c>
      <c r="X324" s="79">
        <f t="shared" si="18"/>
        <v>12.0006</v>
      </c>
      <c r="Y324" s="44"/>
    </row>
    <row r="325" spans="1:25" ht="46.8">
      <c r="A325" s="73">
        <v>44649</v>
      </c>
      <c r="B325" s="30" t="s">
        <v>326</v>
      </c>
      <c r="C325" s="69" t="s">
        <v>21</v>
      </c>
      <c r="D325" s="70" t="s">
        <v>22</v>
      </c>
      <c r="E325" s="30">
        <v>2</v>
      </c>
      <c r="F325" s="30" t="s">
        <v>24</v>
      </c>
      <c r="G325" s="30">
        <v>4</v>
      </c>
      <c r="H325" s="30" t="s">
        <v>28</v>
      </c>
      <c r="I325" s="45" t="s">
        <v>45</v>
      </c>
      <c r="J325" s="71"/>
      <c r="K325" s="80"/>
      <c r="L325" s="73">
        <v>44649</v>
      </c>
      <c r="M325" s="30"/>
      <c r="N325" s="74">
        <v>85</v>
      </c>
      <c r="O325" s="30">
        <v>1</v>
      </c>
      <c r="P325" s="81"/>
      <c r="Q325" s="34" t="s">
        <v>27</v>
      </c>
      <c r="R325" s="75"/>
      <c r="S325" s="76"/>
      <c r="T325" s="77">
        <v>34.75</v>
      </c>
      <c r="U325" s="30">
        <f t="shared" si="21"/>
        <v>69.5</v>
      </c>
      <c r="V325" s="30">
        <f t="shared" si="19"/>
        <v>69.5</v>
      </c>
      <c r="W325" s="30">
        <f t="shared" si="20"/>
        <v>12.51</v>
      </c>
      <c r="X325" s="79">
        <f t="shared" si="18"/>
        <v>82.01</v>
      </c>
      <c r="Y325" s="44"/>
    </row>
    <row r="326" spans="1:25" ht="31.2">
      <c r="A326" s="73" t="s">
        <v>425</v>
      </c>
      <c r="B326" s="30" t="s">
        <v>426</v>
      </c>
      <c r="C326" s="69" t="s">
        <v>21</v>
      </c>
      <c r="D326" s="70" t="s">
        <v>22</v>
      </c>
      <c r="E326" s="30">
        <v>1</v>
      </c>
      <c r="F326" s="30" t="s">
        <v>24</v>
      </c>
      <c r="G326" s="30">
        <v>1</v>
      </c>
      <c r="H326" s="30" t="s">
        <v>28</v>
      </c>
      <c r="I326" s="45" t="s">
        <v>117</v>
      </c>
      <c r="J326" s="71"/>
      <c r="K326" s="80"/>
      <c r="L326" s="73">
        <v>44649</v>
      </c>
      <c r="M326" s="30"/>
      <c r="N326" s="74" t="s">
        <v>233</v>
      </c>
      <c r="O326" s="30">
        <v>1</v>
      </c>
      <c r="P326" s="81"/>
      <c r="Q326" s="34" t="s">
        <v>27</v>
      </c>
      <c r="R326" s="75"/>
      <c r="S326" s="76"/>
      <c r="T326" s="77">
        <v>10.17</v>
      </c>
      <c r="U326" s="30">
        <f t="shared" si="21"/>
        <v>10.17</v>
      </c>
      <c r="V326" s="30">
        <f t="shared" si="19"/>
        <v>10.17</v>
      </c>
      <c r="W326" s="30">
        <f t="shared" si="20"/>
        <v>1.8306</v>
      </c>
      <c r="X326" s="79">
        <f t="shared" ref="X326:X389" si="22">+W326+V326</f>
        <v>12.0006</v>
      </c>
      <c r="Y326" s="44"/>
    </row>
    <row r="327" spans="1:25" ht="46.8">
      <c r="A327" s="73" t="s">
        <v>425</v>
      </c>
      <c r="B327" s="30" t="s">
        <v>426</v>
      </c>
      <c r="C327" s="69" t="s">
        <v>21</v>
      </c>
      <c r="D327" s="70" t="s">
        <v>22</v>
      </c>
      <c r="E327" s="30">
        <v>1</v>
      </c>
      <c r="F327" s="30" t="s">
        <v>24</v>
      </c>
      <c r="G327" s="30">
        <v>4</v>
      </c>
      <c r="H327" s="30" t="s">
        <v>28</v>
      </c>
      <c r="I327" s="45" t="s">
        <v>142</v>
      </c>
      <c r="J327" s="71"/>
      <c r="K327" s="80"/>
      <c r="L327" s="73">
        <v>44649</v>
      </c>
      <c r="M327" s="30"/>
      <c r="N327" s="74" t="s">
        <v>233</v>
      </c>
      <c r="O327" s="30">
        <v>1</v>
      </c>
      <c r="P327" s="81"/>
      <c r="Q327" s="34" t="s">
        <v>27</v>
      </c>
      <c r="R327" s="75"/>
      <c r="S327" s="76"/>
      <c r="T327" s="77">
        <v>21.19</v>
      </c>
      <c r="U327" s="30">
        <f t="shared" si="21"/>
        <v>21.19</v>
      </c>
      <c r="V327" s="30">
        <f t="shared" si="19"/>
        <v>21.19</v>
      </c>
      <c r="W327" s="30">
        <f t="shared" si="20"/>
        <v>3.8142</v>
      </c>
      <c r="X327" s="79">
        <f t="shared" si="22"/>
        <v>25.004200000000001</v>
      </c>
      <c r="Y327" s="44"/>
    </row>
    <row r="328" spans="1:25" ht="46.8">
      <c r="A328" s="73" t="s">
        <v>425</v>
      </c>
      <c r="B328" s="30" t="s">
        <v>426</v>
      </c>
      <c r="C328" s="69" t="s">
        <v>21</v>
      </c>
      <c r="D328" s="70" t="s">
        <v>22</v>
      </c>
      <c r="E328" s="30">
        <v>1</v>
      </c>
      <c r="F328" s="30" t="s">
        <v>24</v>
      </c>
      <c r="G328" s="30">
        <v>4</v>
      </c>
      <c r="H328" s="30" t="s">
        <v>28</v>
      </c>
      <c r="I328" s="45" t="s">
        <v>80</v>
      </c>
      <c r="J328" s="71"/>
      <c r="K328" s="80"/>
      <c r="L328" s="73">
        <v>44649</v>
      </c>
      <c r="M328" s="30"/>
      <c r="N328" s="74" t="s">
        <v>233</v>
      </c>
      <c r="O328" s="30">
        <v>1</v>
      </c>
      <c r="P328" s="81"/>
      <c r="Q328" s="34" t="s">
        <v>27</v>
      </c>
      <c r="R328" s="75"/>
      <c r="S328" s="76"/>
      <c r="T328" s="77">
        <v>39.83</v>
      </c>
      <c r="U328" s="30">
        <f t="shared" si="21"/>
        <v>39.83</v>
      </c>
      <c r="V328" s="30">
        <f t="shared" si="19"/>
        <v>39.83</v>
      </c>
      <c r="W328" s="30">
        <f t="shared" si="20"/>
        <v>7.1693999999999996</v>
      </c>
      <c r="X328" s="79">
        <f t="shared" si="22"/>
        <v>46.999399999999994</v>
      </c>
      <c r="Y328" s="44"/>
    </row>
    <row r="329" spans="1:25" ht="46.8">
      <c r="A329" s="73">
        <v>44649</v>
      </c>
      <c r="B329" s="30" t="s">
        <v>427</v>
      </c>
      <c r="C329" s="69" t="s">
        <v>21</v>
      </c>
      <c r="D329" s="70" t="s">
        <v>22</v>
      </c>
      <c r="E329" s="30">
        <v>1</v>
      </c>
      <c r="F329" s="30" t="s">
        <v>24</v>
      </c>
      <c r="G329" s="30">
        <v>1</v>
      </c>
      <c r="H329" s="30" t="s">
        <v>28</v>
      </c>
      <c r="I329" s="45" t="s">
        <v>73</v>
      </c>
      <c r="J329" s="71"/>
      <c r="K329" s="80"/>
      <c r="L329" s="73">
        <v>44649</v>
      </c>
      <c r="M329" s="30"/>
      <c r="N329" s="74" t="s">
        <v>234</v>
      </c>
      <c r="O329" s="30">
        <v>1</v>
      </c>
      <c r="P329" s="81"/>
      <c r="Q329" s="34" t="s">
        <v>27</v>
      </c>
      <c r="R329" s="75"/>
      <c r="S329" s="76"/>
      <c r="T329" s="77">
        <v>10.17</v>
      </c>
      <c r="U329" s="30">
        <f t="shared" si="21"/>
        <v>10.17</v>
      </c>
      <c r="V329" s="30">
        <f t="shared" si="19"/>
        <v>10.17</v>
      </c>
      <c r="W329" s="30">
        <f t="shared" si="20"/>
        <v>1.8306</v>
      </c>
      <c r="X329" s="79">
        <f t="shared" si="22"/>
        <v>12.0006</v>
      </c>
      <c r="Y329" s="44"/>
    </row>
    <row r="330" spans="1:25" ht="15.6">
      <c r="A330" s="73">
        <v>44649</v>
      </c>
      <c r="B330" s="30" t="s">
        <v>428</v>
      </c>
      <c r="C330" s="69" t="s">
        <v>21</v>
      </c>
      <c r="D330" s="70" t="s">
        <v>22</v>
      </c>
      <c r="E330" s="30">
        <v>1</v>
      </c>
      <c r="F330" s="30" t="s">
        <v>24</v>
      </c>
      <c r="G330" s="30">
        <v>4</v>
      </c>
      <c r="H330" s="30" t="s">
        <v>28</v>
      </c>
      <c r="I330" s="45" t="s">
        <v>35</v>
      </c>
      <c r="J330" s="71"/>
      <c r="K330" s="80"/>
      <c r="L330" s="73">
        <v>44649</v>
      </c>
      <c r="M330" s="30"/>
      <c r="N330" s="74" t="s">
        <v>235</v>
      </c>
      <c r="O330" s="30">
        <v>1</v>
      </c>
      <c r="P330" s="81"/>
      <c r="Q330" s="34" t="s">
        <v>27</v>
      </c>
      <c r="R330" s="75"/>
      <c r="S330" s="76"/>
      <c r="T330" s="77">
        <v>23.73</v>
      </c>
      <c r="U330" s="30">
        <f t="shared" si="21"/>
        <v>23.73</v>
      </c>
      <c r="V330" s="30">
        <f t="shared" si="19"/>
        <v>23.73</v>
      </c>
      <c r="W330" s="30">
        <f t="shared" si="20"/>
        <v>4.2713999999999999</v>
      </c>
      <c r="X330" s="79">
        <f t="shared" si="22"/>
        <v>28.0014</v>
      </c>
      <c r="Y330" s="44"/>
    </row>
    <row r="331" spans="1:25" ht="46.8">
      <c r="A331" s="73">
        <v>44649</v>
      </c>
      <c r="B331" s="30" t="s">
        <v>428</v>
      </c>
      <c r="C331" s="69" t="s">
        <v>21</v>
      </c>
      <c r="D331" s="70" t="s">
        <v>22</v>
      </c>
      <c r="E331" s="30">
        <v>1</v>
      </c>
      <c r="F331" s="30" t="s">
        <v>24</v>
      </c>
      <c r="G331" s="30">
        <v>4</v>
      </c>
      <c r="H331" s="30" t="s">
        <v>28</v>
      </c>
      <c r="I331" s="45" t="s">
        <v>73</v>
      </c>
      <c r="J331" s="71"/>
      <c r="K331" s="80"/>
      <c r="L331" s="73">
        <v>44649</v>
      </c>
      <c r="M331" s="30"/>
      <c r="N331" s="74" t="s">
        <v>235</v>
      </c>
      <c r="O331" s="30">
        <v>1</v>
      </c>
      <c r="P331" s="81"/>
      <c r="Q331" s="34" t="s">
        <v>27</v>
      </c>
      <c r="R331" s="75"/>
      <c r="S331" s="76"/>
      <c r="T331" s="77">
        <v>31.36</v>
      </c>
      <c r="U331" s="30">
        <f t="shared" si="21"/>
        <v>31.36</v>
      </c>
      <c r="V331" s="30">
        <f t="shared" ref="V331:V394" si="23">+U331</f>
        <v>31.36</v>
      </c>
      <c r="W331" s="30">
        <f t="shared" ref="W331:W394" si="24">+V331*0.18</f>
        <v>5.6448</v>
      </c>
      <c r="X331" s="79">
        <f t="shared" si="22"/>
        <v>37.004800000000003</v>
      </c>
      <c r="Y331" s="44"/>
    </row>
    <row r="332" spans="1:25" ht="31.2">
      <c r="A332" s="73">
        <v>44649</v>
      </c>
      <c r="B332" s="30" t="s">
        <v>428</v>
      </c>
      <c r="C332" s="69" t="s">
        <v>21</v>
      </c>
      <c r="D332" s="70" t="s">
        <v>22</v>
      </c>
      <c r="E332" s="30">
        <v>1</v>
      </c>
      <c r="F332" s="30" t="s">
        <v>24</v>
      </c>
      <c r="G332" s="30">
        <v>1</v>
      </c>
      <c r="H332" s="30" t="s">
        <v>28</v>
      </c>
      <c r="I332" s="45" t="s">
        <v>31</v>
      </c>
      <c r="J332" s="71"/>
      <c r="K332" s="80"/>
      <c r="L332" s="73">
        <v>44649</v>
      </c>
      <c r="M332" s="30"/>
      <c r="N332" s="74" t="s">
        <v>235</v>
      </c>
      <c r="O332" s="30">
        <v>1</v>
      </c>
      <c r="P332" s="81"/>
      <c r="Q332" s="34" t="s">
        <v>27</v>
      </c>
      <c r="R332" s="75"/>
      <c r="S332" s="76"/>
      <c r="T332" s="77">
        <v>8.0500000000000007</v>
      </c>
      <c r="U332" s="30">
        <f t="shared" si="21"/>
        <v>8.0500000000000007</v>
      </c>
      <c r="V332" s="30">
        <f t="shared" si="23"/>
        <v>8.0500000000000007</v>
      </c>
      <c r="W332" s="30">
        <f t="shared" si="24"/>
        <v>1.4490000000000001</v>
      </c>
      <c r="X332" s="79">
        <f t="shared" si="22"/>
        <v>9.4990000000000006</v>
      </c>
      <c r="Y332" s="44"/>
    </row>
    <row r="333" spans="1:25" ht="31.2">
      <c r="A333" s="73">
        <v>44649</v>
      </c>
      <c r="B333" s="30" t="s">
        <v>428</v>
      </c>
      <c r="C333" s="69" t="s">
        <v>21</v>
      </c>
      <c r="D333" s="70" t="s">
        <v>22</v>
      </c>
      <c r="E333" s="30">
        <v>1</v>
      </c>
      <c r="F333" s="30" t="s">
        <v>24</v>
      </c>
      <c r="G333" s="30">
        <v>0.5</v>
      </c>
      <c r="H333" s="30" t="s">
        <v>28</v>
      </c>
      <c r="I333" s="45" t="s">
        <v>51</v>
      </c>
      <c r="J333" s="71"/>
      <c r="K333" s="80"/>
      <c r="L333" s="73">
        <v>44649</v>
      </c>
      <c r="M333" s="30"/>
      <c r="N333" s="74" t="s">
        <v>235</v>
      </c>
      <c r="O333" s="30">
        <v>1</v>
      </c>
      <c r="P333" s="81"/>
      <c r="Q333" s="34" t="s">
        <v>27</v>
      </c>
      <c r="R333" s="75"/>
      <c r="S333" s="76"/>
      <c r="T333" s="77">
        <v>6.78</v>
      </c>
      <c r="U333" s="30">
        <f t="shared" si="21"/>
        <v>6.78</v>
      </c>
      <c r="V333" s="30">
        <f t="shared" si="23"/>
        <v>6.78</v>
      </c>
      <c r="W333" s="30">
        <f t="shared" si="24"/>
        <v>1.2203999999999999</v>
      </c>
      <c r="X333" s="79">
        <f t="shared" si="22"/>
        <v>8.0004000000000008</v>
      </c>
      <c r="Y333" s="44"/>
    </row>
    <row r="334" spans="1:25" ht="31.2">
      <c r="A334" s="73">
        <v>44649</v>
      </c>
      <c r="B334" s="30" t="s">
        <v>429</v>
      </c>
      <c r="C334" s="69" t="s">
        <v>21</v>
      </c>
      <c r="D334" s="70" t="s">
        <v>22</v>
      </c>
      <c r="E334" s="30">
        <v>1</v>
      </c>
      <c r="F334" s="30" t="s">
        <v>24</v>
      </c>
      <c r="G334" s="30">
        <v>1</v>
      </c>
      <c r="H334" s="30" t="s">
        <v>28</v>
      </c>
      <c r="I334" s="45" t="s">
        <v>82</v>
      </c>
      <c r="J334" s="71"/>
      <c r="K334" s="80"/>
      <c r="L334" s="73">
        <v>44649</v>
      </c>
      <c r="M334" s="30"/>
      <c r="N334" s="74" t="s">
        <v>236</v>
      </c>
      <c r="O334" s="30">
        <v>1</v>
      </c>
      <c r="P334" s="81"/>
      <c r="Q334" s="34" t="s">
        <v>27</v>
      </c>
      <c r="R334" s="75"/>
      <c r="S334" s="76"/>
      <c r="T334" s="77">
        <v>10.17</v>
      </c>
      <c r="U334" s="30">
        <f t="shared" si="21"/>
        <v>10.17</v>
      </c>
      <c r="V334" s="30">
        <f t="shared" si="23"/>
        <v>10.17</v>
      </c>
      <c r="W334" s="30">
        <f t="shared" si="24"/>
        <v>1.8306</v>
      </c>
      <c r="X334" s="79">
        <f t="shared" si="22"/>
        <v>12.0006</v>
      </c>
      <c r="Y334" s="44"/>
    </row>
    <row r="335" spans="1:25" ht="31.2">
      <c r="A335" s="73">
        <v>44649</v>
      </c>
      <c r="B335" s="30" t="s">
        <v>430</v>
      </c>
      <c r="C335" s="69" t="s">
        <v>21</v>
      </c>
      <c r="D335" s="70" t="s">
        <v>22</v>
      </c>
      <c r="E335" s="30">
        <v>1</v>
      </c>
      <c r="F335" s="30" t="s">
        <v>24</v>
      </c>
      <c r="G335" s="30">
        <v>0.5</v>
      </c>
      <c r="H335" s="30" t="s">
        <v>28</v>
      </c>
      <c r="I335" s="45" t="s">
        <v>57</v>
      </c>
      <c r="J335" s="71"/>
      <c r="K335" s="80"/>
      <c r="L335" s="73">
        <v>44649</v>
      </c>
      <c r="M335" s="30"/>
      <c r="N335" s="74" t="s">
        <v>237</v>
      </c>
      <c r="O335" s="30">
        <v>1</v>
      </c>
      <c r="P335" s="81"/>
      <c r="Q335" s="34" t="s">
        <v>27</v>
      </c>
      <c r="R335" s="75"/>
      <c r="S335" s="76"/>
      <c r="T335" s="77">
        <v>6.78</v>
      </c>
      <c r="U335" s="30">
        <f t="shared" si="21"/>
        <v>6.78</v>
      </c>
      <c r="V335" s="30">
        <f t="shared" si="23"/>
        <v>6.78</v>
      </c>
      <c r="W335" s="30">
        <f t="shared" si="24"/>
        <v>1.2203999999999999</v>
      </c>
      <c r="X335" s="79">
        <f t="shared" si="22"/>
        <v>8.0004000000000008</v>
      </c>
      <c r="Y335" s="44"/>
    </row>
    <row r="336" spans="1:25" ht="31.2">
      <c r="A336" s="73">
        <v>44649</v>
      </c>
      <c r="B336" s="30" t="s">
        <v>430</v>
      </c>
      <c r="C336" s="69" t="s">
        <v>21</v>
      </c>
      <c r="D336" s="70" t="s">
        <v>22</v>
      </c>
      <c r="E336" s="30">
        <v>1</v>
      </c>
      <c r="F336" s="30" t="s">
        <v>24</v>
      </c>
      <c r="G336" s="30">
        <v>0.5</v>
      </c>
      <c r="H336" s="30" t="s">
        <v>28</v>
      </c>
      <c r="I336" s="45" t="s">
        <v>201</v>
      </c>
      <c r="J336" s="71"/>
      <c r="K336" s="80"/>
      <c r="L336" s="73">
        <v>44649</v>
      </c>
      <c r="M336" s="30"/>
      <c r="N336" s="74" t="s">
        <v>237</v>
      </c>
      <c r="O336" s="30">
        <v>1</v>
      </c>
      <c r="P336" s="81"/>
      <c r="Q336" s="34" t="s">
        <v>27</v>
      </c>
      <c r="R336" s="75"/>
      <c r="S336" s="76"/>
      <c r="T336" s="77">
        <v>6.78</v>
      </c>
      <c r="U336" s="30">
        <f t="shared" si="21"/>
        <v>6.78</v>
      </c>
      <c r="V336" s="30">
        <f t="shared" si="23"/>
        <v>6.78</v>
      </c>
      <c r="W336" s="30">
        <f t="shared" si="24"/>
        <v>1.2203999999999999</v>
      </c>
      <c r="X336" s="79">
        <f t="shared" si="22"/>
        <v>8.0004000000000008</v>
      </c>
      <c r="Y336" s="44"/>
    </row>
    <row r="337" spans="1:25" ht="31.2">
      <c r="A337" s="73">
        <v>44649</v>
      </c>
      <c r="B337" s="30" t="s">
        <v>430</v>
      </c>
      <c r="C337" s="69" t="s">
        <v>21</v>
      </c>
      <c r="D337" s="70" t="s">
        <v>22</v>
      </c>
      <c r="E337" s="30">
        <v>1</v>
      </c>
      <c r="F337" s="30" t="s">
        <v>24</v>
      </c>
      <c r="G337" s="30">
        <v>0.5</v>
      </c>
      <c r="H337" s="30" t="s">
        <v>28</v>
      </c>
      <c r="I337" s="45" t="s">
        <v>82</v>
      </c>
      <c r="J337" s="71"/>
      <c r="K337" s="80"/>
      <c r="L337" s="73">
        <v>44649</v>
      </c>
      <c r="M337" s="30"/>
      <c r="N337" s="74" t="s">
        <v>237</v>
      </c>
      <c r="O337" s="30">
        <v>1</v>
      </c>
      <c r="P337" s="81"/>
      <c r="Q337" s="34" t="s">
        <v>27</v>
      </c>
      <c r="R337" s="75"/>
      <c r="S337" s="76"/>
      <c r="T337" s="77">
        <v>6.78</v>
      </c>
      <c r="U337" s="30">
        <f t="shared" si="21"/>
        <v>6.78</v>
      </c>
      <c r="V337" s="30">
        <f t="shared" si="23"/>
        <v>6.78</v>
      </c>
      <c r="W337" s="30">
        <f t="shared" si="24"/>
        <v>1.2203999999999999</v>
      </c>
      <c r="X337" s="79">
        <f t="shared" si="22"/>
        <v>8.0004000000000008</v>
      </c>
      <c r="Y337" s="44"/>
    </row>
    <row r="338" spans="1:25" ht="31.2">
      <c r="A338" s="73">
        <v>44649</v>
      </c>
      <c r="B338" s="30" t="s">
        <v>430</v>
      </c>
      <c r="C338" s="69" t="s">
        <v>21</v>
      </c>
      <c r="D338" s="70" t="s">
        <v>22</v>
      </c>
      <c r="E338" s="30">
        <v>1</v>
      </c>
      <c r="F338" s="30" t="s">
        <v>24</v>
      </c>
      <c r="G338" s="30">
        <v>1</v>
      </c>
      <c r="H338" s="30" t="s">
        <v>28</v>
      </c>
      <c r="I338" s="45" t="s">
        <v>49</v>
      </c>
      <c r="J338" s="71"/>
      <c r="K338" s="80"/>
      <c r="L338" s="73">
        <v>44649</v>
      </c>
      <c r="M338" s="30"/>
      <c r="N338" s="74" t="s">
        <v>237</v>
      </c>
      <c r="O338" s="30">
        <v>1</v>
      </c>
      <c r="P338" s="81"/>
      <c r="Q338" s="34" t="s">
        <v>27</v>
      </c>
      <c r="R338" s="75"/>
      <c r="S338" s="76"/>
      <c r="T338" s="77">
        <v>21.19</v>
      </c>
      <c r="U338" s="30">
        <f t="shared" si="21"/>
        <v>21.19</v>
      </c>
      <c r="V338" s="30">
        <f t="shared" si="23"/>
        <v>21.19</v>
      </c>
      <c r="W338" s="30">
        <f t="shared" si="24"/>
        <v>3.8142</v>
      </c>
      <c r="X338" s="79">
        <f t="shared" si="22"/>
        <v>25.004200000000001</v>
      </c>
      <c r="Y338" s="44"/>
    </row>
    <row r="339" spans="1:25" ht="62.4">
      <c r="A339" s="73">
        <v>44649</v>
      </c>
      <c r="B339" s="30" t="s">
        <v>430</v>
      </c>
      <c r="C339" s="69" t="s">
        <v>21</v>
      </c>
      <c r="D339" s="70" t="s">
        <v>22</v>
      </c>
      <c r="E339" s="30">
        <v>1</v>
      </c>
      <c r="F339" s="30" t="s">
        <v>24</v>
      </c>
      <c r="G339" s="30">
        <v>4</v>
      </c>
      <c r="H339" s="30" t="s">
        <v>28</v>
      </c>
      <c r="I339" s="45" t="s">
        <v>238</v>
      </c>
      <c r="J339" s="71"/>
      <c r="K339" s="80"/>
      <c r="L339" s="73">
        <v>44649</v>
      </c>
      <c r="M339" s="30"/>
      <c r="N339" s="74" t="s">
        <v>237</v>
      </c>
      <c r="O339" s="30">
        <v>1</v>
      </c>
      <c r="P339" s="81"/>
      <c r="Q339" s="34" t="s">
        <v>27</v>
      </c>
      <c r="R339" s="75"/>
      <c r="S339" s="76"/>
      <c r="T339" s="77">
        <v>12.71</v>
      </c>
      <c r="U339" s="30">
        <f t="shared" si="21"/>
        <v>12.71</v>
      </c>
      <c r="V339" s="30">
        <f t="shared" si="23"/>
        <v>12.71</v>
      </c>
      <c r="W339" s="30">
        <f t="shared" si="24"/>
        <v>2.2878000000000003</v>
      </c>
      <c r="X339" s="79">
        <f t="shared" si="22"/>
        <v>14.997800000000002</v>
      </c>
      <c r="Y339" s="44"/>
    </row>
    <row r="340" spans="1:25" ht="15.6">
      <c r="A340" s="73">
        <v>44650</v>
      </c>
      <c r="B340" s="30" t="s">
        <v>431</v>
      </c>
      <c r="C340" s="69" t="s">
        <v>21</v>
      </c>
      <c r="D340" s="70" t="s">
        <v>22</v>
      </c>
      <c r="E340" s="30">
        <v>2</v>
      </c>
      <c r="F340" s="30" t="s">
        <v>24</v>
      </c>
      <c r="G340" s="30">
        <v>4</v>
      </c>
      <c r="H340" s="30" t="s">
        <v>28</v>
      </c>
      <c r="I340" s="45" t="s">
        <v>35</v>
      </c>
      <c r="J340" s="71"/>
      <c r="K340" s="80"/>
      <c r="L340" s="73">
        <v>44650</v>
      </c>
      <c r="M340" s="30"/>
      <c r="N340" s="74" t="s">
        <v>239</v>
      </c>
      <c r="O340" s="30">
        <v>1</v>
      </c>
      <c r="P340" s="81"/>
      <c r="Q340" s="34" t="s">
        <v>27</v>
      </c>
      <c r="R340" s="75"/>
      <c r="S340" s="76"/>
      <c r="T340" s="77">
        <v>23.73</v>
      </c>
      <c r="U340" s="30">
        <f t="shared" si="21"/>
        <v>47.46</v>
      </c>
      <c r="V340" s="30">
        <f t="shared" si="23"/>
        <v>47.46</v>
      </c>
      <c r="W340" s="30">
        <f t="shared" si="24"/>
        <v>8.5427999999999997</v>
      </c>
      <c r="X340" s="79">
        <f t="shared" si="22"/>
        <v>56.002800000000001</v>
      </c>
      <c r="Y340" s="44"/>
    </row>
    <row r="341" spans="1:25" ht="15.6">
      <c r="A341" s="73">
        <v>44650</v>
      </c>
      <c r="B341" s="30" t="s">
        <v>432</v>
      </c>
      <c r="C341" s="69" t="s">
        <v>21</v>
      </c>
      <c r="D341" s="70" t="s">
        <v>22</v>
      </c>
      <c r="E341" s="30">
        <v>1</v>
      </c>
      <c r="F341" s="30" t="s">
        <v>24</v>
      </c>
      <c r="G341" s="30">
        <v>4</v>
      </c>
      <c r="H341" s="30" t="s">
        <v>28</v>
      </c>
      <c r="I341" s="45" t="s">
        <v>35</v>
      </c>
      <c r="J341" s="71"/>
      <c r="K341" s="80"/>
      <c r="L341" s="73">
        <v>44650</v>
      </c>
      <c r="M341" s="30"/>
      <c r="N341" s="74" t="s">
        <v>240</v>
      </c>
      <c r="O341" s="30">
        <v>1</v>
      </c>
      <c r="P341" s="81"/>
      <c r="Q341" s="34" t="s">
        <v>27</v>
      </c>
      <c r="R341" s="75"/>
      <c r="S341" s="76"/>
      <c r="T341" s="77">
        <v>23.73</v>
      </c>
      <c r="U341" s="30">
        <f t="shared" si="21"/>
        <v>23.73</v>
      </c>
      <c r="V341" s="30">
        <f t="shared" si="23"/>
        <v>23.73</v>
      </c>
      <c r="W341" s="30">
        <f t="shared" si="24"/>
        <v>4.2713999999999999</v>
      </c>
      <c r="X341" s="79">
        <f t="shared" si="22"/>
        <v>28.0014</v>
      </c>
      <c r="Y341" s="44"/>
    </row>
    <row r="342" spans="1:25" ht="31.2">
      <c r="A342" s="73">
        <v>44650</v>
      </c>
      <c r="B342" s="30" t="s">
        <v>283</v>
      </c>
      <c r="C342" s="69" t="s">
        <v>21</v>
      </c>
      <c r="D342" s="70" t="s">
        <v>22</v>
      </c>
      <c r="E342" s="30">
        <v>1</v>
      </c>
      <c r="F342" s="30" t="s">
        <v>24</v>
      </c>
      <c r="G342" s="30">
        <v>4</v>
      </c>
      <c r="H342" s="30" t="s">
        <v>28</v>
      </c>
      <c r="I342" s="45" t="s">
        <v>241</v>
      </c>
      <c r="J342" s="71"/>
      <c r="K342" s="80"/>
      <c r="L342" s="73">
        <v>44650</v>
      </c>
      <c r="M342" s="30"/>
      <c r="N342" s="74" t="s">
        <v>242</v>
      </c>
      <c r="O342" s="30">
        <v>1</v>
      </c>
      <c r="P342" s="81"/>
      <c r="Q342" s="34" t="s">
        <v>27</v>
      </c>
      <c r="R342" s="75"/>
      <c r="S342" s="76"/>
      <c r="T342" s="77">
        <v>21.19</v>
      </c>
      <c r="U342" s="30">
        <f t="shared" si="21"/>
        <v>21.19</v>
      </c>
      <c r="V342" s="30">
        <f t="shared" si="23"/>
        <v>21.19</v>
      </c>
      <c r="W342" s="30">
        <f t="shared" si="24"/>
        <v>3.8142</v>
      </c>
      <c r="X342" s="79">
        <f t="shared" si="22"/>
        <v>25.004200000000001</v>
      </c>
      <c r="Y342" s="44"/>
    </row>
    <row r="343" spans="1:25" ht="46.8">
      <c r="A343" s="73">
        <v>44651</v>
      </c>
      <c r="B343" s="30" t="s">
        <v>417</v>
      </c>
      <c r="C343" s="69" t="s">
        <v>21</v>
      </c>
      <c r="D343" s="70" t="s">
        <v>22</v>
      </c>
      <c r="E343" s="30">
        <v>3</v>
      </c>
      <c r="F343" s="30" t="s">
        <v>24</v>
      </c>
      <c r="G343" s="30">
        <v>20</v>
      </c>
      <c r="H343" s="30" t="s">
        <v>28</v>
      </c>
      <c r="I343" s="45" t="s">
        <v>223</v>
      </c>
      <c r="J343" s="71"/>
      <c r="K343" s="80"/>
      <c r="L343" s="73">
        <v>44651</v>
      </c>
      <c r="M343" s="30"/>
      <c r="N343" s="74">
        <v>86</v>
      </c>
      <c r="O343" s="30">
        <v>1</v>
      </c>
      <c r="P343" s="81"/>
      <c r="Q343" s="34" t="s">
        <v>27</v>
      </c>
      <c r="R343" s="75">
        <f>0.99*60</f>
        <v>59.4</v>
      </c>
      <c r="S343" s="76">
        <v>1.99</v>
      </c>
      <c r="T343" s="77">
        <f>+S343*G343</f>
        <v>39.799999999999997</v>
      </c>
      <c r="U343" s="30">
        <f>(T343*E343)-R343</f>
        <v>59.999999999999993</v>
      </c>
      <c r="V343" s="30">
        <f t="shared" si="23"/>
        <v>59.999999999999993</v>
      </c>
      <c r="W343" s="30">
        <f t="shared" si="24"/>
        <v>10.799999999999999</v>
      </c>
      <c r="X343" s="79">
        <f t="shared" si="22"/>
        <v>70.8</v>
      </c>
      <c r="Y343" s="44"/>
    </row>
    <row r="344" spans="1:25" ht="31.2">
      <c r="A344" s="73">
        <v>44652</v>
      </c>
      <c r="B344" s="30" t="s">
        <v>301</v>
      </c>
      <c r="C344" s="69" t="s">
        <v>21</v>
      </c>
      <c r="D344" s="70" t="s">
        <v>22</v>
      </c>
      <c r="E344" s="30">
        <v>12</v>
      </c>
      <c r="F344" s="30" t="s">
        <v>24</v>
      </c>
      <c r="G344" s="30">
        <v>4</v>
      </c>
      <c r="H344" s="30" t="s">
        <v>28</v>
      </c>
      <c r="I344" s="45" t="s">
        <v>71</v>
      </c>
      <c r="J344" s="71"/>
      <c r="K344" s="80"/>
      <c r="L344" s="73">
        <v>44652</v>
      </c>
      <c r="M344" s="30"/>
      <c r="N344" s="74" t="s">
        <v>243</v>
      </c>
      <c r="O344" s="30">
        <v>1</v>
      </c>
      <c r="P344" s="81"/>
      <c r="Q344" s="34" t="s">
        <v>27</v>
      </c>
      <c r="R344" s="75"/>
      <c r="S344" s="76"/>
      <c r="T344" s="77">
        <v>14.41</v>
      </c>
      <c r="U344" s="30">
        <f t="shared" ref="U344:U405" si="25">(T344*E344)-R344</f>
        <v>172.92000000000002</v>
      </c>
      <c r="V344" s="30">
        <f t="shared" si="23"/>
        <v>172.92000000000002</v>
      </c>
      <c r="W344" s="30">
        <f t="shared" si="24"/>
        <v>31.125600000000002</v>
      </c>
      <c r="X344" s="79">
        <f t="shared" si="22"/>
        <v>204.04560000000001</v>
      </c>
      <c r="Y344" s="44"/>
    </row>
    <row r="345" spans="1:25" ht="46.8">
      <c r="A345" s="73">
        <v>44652</v>
      </c>
      <c r="B345" s="30" t="s">
        <v>433</v>
      </c>
      <c r="C345" s="69" t="s">
        <v>21</v>
      </c>
      <c r="D345" s="70" t="s">
        <v>22</v>
      </c>
      <c r="E345" s="30">
        <v>1</v>
      </c>
      <c r="F345" s="30" t="s">
        <v>24</v>
      </c>
      <c r="G345" s="30">
        <v>1</v>
      </c>
      <c r="H345" s="30" t="s">
        <v>28</v>
      </c>
      <c r="I345" s="45" t="s">
        <v>142</v>
      </c>
      <c r="J345" s="71"/>
      <c r="K345" s="80"/>
      <c r="L345" s="73">
        <v>44652</v>
      </c>
      <c r="M345" s="30"/>
      <c r="N345" s="74" t="s">
        <v>244</v>
      </c>
      <c r="O345" s="30">
        <v>1</v>
      </c>
      <c r="P345" s="81"/>
      <c r="Q345" s="34" t="s">
        <v>27</v>
      </c>
      <c r="R345" s="75"/>
      <c r="S345" s="76"/>
      <c r="T345" s="77">
        <v>8.0500000000000007</v>
      </c>
      <c r="U345" s="30">
        <f t="shared" si="25"/>
        <v>8.0500000000000007</v>
      </c>
      <c r="V345" s="30">
        <f t="shared" si="23"/>
        <v>8.0500000000000007</v>
      </c>
      <c r="W345" s="30">
        <f t="shared" si="24"/>
        <v>1.4490000000000001</v>
      </c>
      <c r="X345" s="79">
        <f t="shared" si="22"/>
        <v>9.4990000000000006</v>
      </c>
      <c r="Y345" s="44"/>
    </row>
    <row r="346" spans="1:25" ht="31.2">
      <c r="A346" s="73">
        <v>44652</v>
      </c>
      <c r="B346" s="30" t="s">
        <v>434</v>
      </c>
      <c r="C346" s="69" t="s">
        <v>21</v>
      </c>
      <c r="D346" s="70" t="s">
        <v>22</v>
      </c>
      <c r="E346" s="30">
        <v>1</v>
      </c>
      <c r="F346" s="30" t="s">
        <v>24</v>
      </c>
      <c r="G346" s="30">
        <v>0.5</v>
      </c>
      <c r="H346" s="30" t="s">
        <v>28</v>
      </c>
      <c r="I346" s="45" t="s">
        <v>57</v>
      </c>
      <c r="J346" s="71"/>
      <c r="K346" s="80"/>
      <c r="L346" s="73">
        <v>44652</v>
      </c>
      <c r="M346" s="30"/>
      <c r="N346" s="74" t="s">
        <v>245</v>
      </c>
      <c r="O346" s="30">
        <v>1</v>
      </c>
      <c r="P346" s="81"/>
      <c r="Q346" s="34" t="s">
        <v>27</v>
      </c>
      <c r="R346" s="75"/>
      <c r="S346" s="76"/>
      <c r="T346" s="77">
        <v>6.78</v>
      </c>
      <c r="U346" s="30">
        <f t="shared" si="25"/>
        <v>6.78</v>
      </c>
      <c r="V346" s="30">
        <f t="shared" si="23"/>
        <v>6.78</v>
      </c>
      <c r="W346" s="30">
        <f t="shared" si="24"/>
        <v>1.2203999999999999</v>
      </c>
      <c r="X346" s="79">
        <f t="shared" si="22"/>
        <v>8.0004000000000008</v>
      </c>
      <c r="Y346" s="44"/>
    </row>
    <row r="347" spans="1:25" ht="31.2">
      <c r="A347" s="73">
        <v>44652</v>
      </c>
      <c r="B347" s="30" t="s">
        <v>434</v>
      </c>
      <c r="C347" s="69" t="s">
        <v>21</v>
      </c>
      <c r="D347" s="70" t="s">
        <v>22</v>
      </c>
      <c r="E347" s="30">
        <v>1</v>
      </c>
      <c r="F347" s="30" t="s">
        <v>24</v>
      </c>
      <c r="G347" s="30">
        <v>1</v>
      </c>
      <c r="H347" s="30" t="s">
        <v>28</v>
      </c>
      <c r="I347" s="45" t="s">
        <v>49</v>
      </c>
      <c r="J347" s="71"/>
      <c r="K347" s="80"/>
      <c r="L347" s="73">
        <v>44652</v>
      </c>
      <c r="M347" s="30"/>
      <c r="N347" s="74" t="s">
        <v>245</v>
      </c>
      <c r="O347" s="30">
        <v>1</v>
      </c>
      <c r="P347" s="81"/>
      <c r="Q347" s="34" t="s">
        <v>27</v>
      </c>
      <c r="R347" s="75"/>
      <c r="S347" s="76"/>
      <c r="T347" s="77">
        <v>21.19</v>
      </c>
      <c r="U347" s="30">
        <f t="shared" si="25"/>
        <v>21.19</v>
      </c>
      <c r="V347" s="30">
        <f t="shared" si="23"/>
        <v>21.19</v>
      </c>
      <c r="W347" s="30">
        <f t="shared" si="24"/>
        <v>3.8142</v>
      </c>
      <c r="X347" s="79">
        <f t="shared" si="22"/>
        <v>25.004200000000001</v>
      </c>
      <c r="Y347" s="44"/>
    </row>
    <row r="348" spans="1:25" ht="31.2">
      <c r="A348" s="73">
        <v>44652</v>
      </c>
      <c r="B348" s="30" t="s">
        <v>435</v>
      </c>
      <c r="C348" s="69" t="s">
        <v>21</v>
      </c>
      <c r="D348" s="70" t="s">
        <v>22</v>
      </c>
      <c r="E348" s="30">
        <v>1</v>
      </c>
      <c r="F348" s="30" t="s">
        <v>24</v>
      </c>
      <c r="G348" s="30">
        <v>1</v>
      </c>
      <c r="H348" s="30" t="s">
        <v>28</v>
      </c>
      <c r="I348" s="45" t="s">
        <v>49</v>
      </c>
      <c r="J348" s="71"/>
      <c r="K348" s="80"/>
      <c r="L348" s="73">
        <v>44652</v>
      </c>
      <c r="M348" s="30"/>
      <c r="N348" s="74" t="s">
        <v>246</v>
      </c>
      <c r="O348" s="30">
        <v>1</v>
      </c>
      <c r="P348" s="81"/>
      <c r="Q348" s="34" t="s">
        <v>27</v>
      </c>
      <c r="R348" s="75"/>
      <c r="S348" s="76"/>
      <c r="T348" s="77">
        <v>21.19</v>
      </c>
      <c r="U348" s="30">
        <f t="shared" si="25"/>
        <v>21.19</v>
      </c>
      <c r="V348" s="30">
        <f t="shared" si="23"/>
        <v>21.19</v>
      </c>
      <c r="W348" s="30">
        <f t="shared" si="24"/>
        <v>3.8142</v>
      </c>
      <c r="X348" s="79">
        <f t="shared" si="22"/>
        <v>25.004200000000001</v>
      </c>
      <c r="Y348" s="44"/>
    </row>
    <row r="349" spans="1:25" ht="46.8">
      <c r="A349" s="73">
        <v>44652</v>
      </c>
      <c r="B349" s="30" t="s">
        <v>435</v>
      </c>
      <c r="C349" s="69" t="s">
        <v>21</v>
      </c>
      <c r="D349" s="70" t="s">
        <v>22</v>
      </c>
      <c r="E349" s="30">
        <v>1</v>
      </c>
      <c r="F349" s="30" t="s">
        <v>24</v>
      </c>
      <c r="G349" s="30">
        <v>1</v>
      </c>
      <c r="H349" s="30" t="s">
        <v>28</v>
      </c>
      <c r="I349" s="45" t="s">
        <v>142</v>
      </c>
      <c r="J349" s="71"/>
      <c r="K349" s="80"/>
      <c r="L349" s="73">
        <v>44652</v>
      </c>
      <c r="M349" s="30"/>
      <c r="N349" s="74" t="s">
        <v>246</v>
      </c>
      <c r="O349" s="30">
        <v>1</v>
      </c>
      <c r="P349" s="81"/>
      <c r="Q349" s="34" t="s">
        <v>27</v>
      </c>
      <c r="R349" s="75"/>
      <c r="S349" s="76"/>
      <c r="T349" s="77">
        <v>8.0500000000000007</v>
      </c>
      <c r="U349" s="30">
        <f t="shared" si="25"/>
        <v>8.0500000000000007</v>
      </c>
      <c r="V349" s="30">
        <f t="shared" si="23"/>
        <v>8.0500000000000007</v>
      </c>
      <c r="W349" s="30">
        <f t="shared" si="24"/>
        <v>1.4490000000000001</v>
      </c>
      <c r="X349" s="79">
        <f t="shared" si="22"/>
        <v>9.4990000000000006</v>
      </c>
      <c r="Y349" s="44"/>
    </row>
    <row r="350" spans="1:25" ht="46.8">
      <c r="A350" s="73">
        <v>44652</v>
      </c>
      <c r="B350" s="30" t="s">
        <v>301</v>
      </c>
      <c r="C350" s="69" t="s">
        <v>21</v>
      </c>
      <c r="D350" s="70" t="s">
        <v>22</v>
      </c>
      <c r="E350" s="30">
        <v>1</v>
      </c>
      <c r="F350" s="30" t="s">
        <v>24</v>
      </c>
      <c r="G350" s="30">
        <v>4</v>
      </c>
      <c r="H350" s="30" t="s">
        <v>28</v>
      </c>
      <c r="I350" s="45" t="s">
        <v>80</v>
      </c>
      <c r="J350" s="71"/>
      <c r="K350" s="80"/>
      <c r="L350" s="73">
        <v>44652</v>
      </c>
      <c r="M350" s="30"/>
      <c r="N350" s="74" t="s">
        <v>247</v>
      </c>
      <c r="O350" s="30">
        <v>1</v>
      </c>
      <c r="P350" s="81"/>
      <c r="Q350" s="34" t="s">
        <v>27</v>
      </c>
      <c r="R350" s="75"/>
      <c r="S350" s="76"/>
      <c r="T350" s="77">
        <v>39.83</v>
      </c>
      <c r="U350" s="30">
        <f t="shared" si="25"/>
        <v>39.83</v>
      </c>
      <c r="V350" s="30">
        <f t="shared" si="23"/>
        <v>39.83</v>
      </c>
      <c r="W350" s="30">
        <f t="shared" si="24"/>
        <v>7.1693999999999996</v>
      </c>
      <c r="X350" s="79">
        <f t="shared" si="22"/>
        <v>46.999399999999994</v>
      </c>
      <c r="Y350" s="44"/>
    </row>
    <row r="351" spans="1:25" ht="46.8">
      <c r="A351" s="73">
        <v>44652</v>
      </c>
      <c r="B351" s="30" t="s">
        <v>301</v>
      </c>
      <c r="C351" s="69" t="s">
        <v>21</v>
      </c>
      <c r="D351" s="70" t="s">
        <v>22</v>
      </c>
      <c r="E351" s="30">
        <v>1</v>
      </c>
      <c r="F351" s="30" t="s">
        <v>24</v>
      </c>
      <c r="G351" s="30">
        <v>4</v>
      </c>
      <c r="H351" s="30" t="s">
        <v>28</v>
      </c>
      <c r="I351" s="45" t="s">
        <v>73</v>
      </c>
      <c r="J351" s="71"/>
      <c r="K351" s="80"/>
      <c r="L351" s="73">
        <v>44652</v>
      </c>
      <c r="M351" s="30"/>
      <c r="N351" s="74" t="s">
        <v>247</v>
      </c>
      <c r="O351" s="30">
        <v>1</v>
      </c>
      <c r="P351" s="81"/>
      <c r="Q351" s="34" t="s">
        <v>27</v>
      </c>
      <c r="R351" s="75"/>
      <c r="S351" s="76"/>
      <c r="T351" s="77">
        <v>31.36</v>
      </c>
      <c r="U351" s="30">
        <f t="shared" si="25"/>
        <v>31.36</v>
      </c>
      <c r="V351" s="30">
        <f t="shared" si="23"/>
        <v>31.36</v>
      </c>
      <c r="W351" s="30">
        <f t="shared" si="24"/>
        <v>5.6448</v>
      </c>
      <c r="X351" s="79">
        <f t="shared" si="22"/>
        <v>37.004800000000003</v>
      </c>
      <c r="Y351" s="44"/>
    </row>
    <row r="352" spans="1:25" ht="15.6">
      <c r="A352" s="73">
        <v>44652</v>
      </c>
      <c r="B352" s="30" t="s">
        <v>372</v>
      </c>
      <c r="C352" s="69" t="s">
        <v>21</v>
      </c>
      <c r="D352" s="70" t="s">
        <v>22</v>
      </c>
      <c r="E352" s="30">
        <v>1</v>
      </c>
      <c r="F352" s="30" t="s">
        <v>24</v>
      </c>
      <c r="G352" s="30">
        <v>4</v>
      </c>
      <c r="H352" s="30" t="s">
        <v>28</v>
      </c>
      <c r="I352" s="45" t="s">
        <v>35</v>
      </c>
      <c r="J352" s="71"/>
      <c r="K352" s="80"/>
      <c r="L352" s="73">
        <v>44652</v>
      </c>
      <c r="M352" s="30"/>
      <c r="N352" s="74" t="s">
        <v>248</v>
      </c>
      <c r="O352" s="30">
        <v>1</v>
      </c>
      <c r="P352" s="81"/>
      <c r="Q352" s="34" t="s">
        <v>27</v>
      </c>
      <c r="R352" s="75"/>
      <c r="S352" s="76"/>
      <c r="T352" s="77">
        <v>23.73</v>
      </c>
      <c r="U352" s="30">
        <f t="shared" si="25"/>
        <v>23.73</v>
      </c>
      <c r="V352" s="30">
        <f t="shared" si="23"/>
        <v>23.73</v>
      </c>
      <c r="W352" s="30">
        <f t="shared" si="24"/>
        <v>4.2713999999999999</v>
      </c>
      <c r="X352" s="79">
        <f t="shared" si="22"/>
        <v>28.0014</v>
      </c>
      <c r="Y352" s="44"/>
    </row>
    <row r="353" spans="1:25" ht="31.2">
      <c r="A353" s="73">
        <v>44652</v>
      </c>
      <c r="B353" s="30" t="s">
        <v>429</v>
      </c>
      <c r="C353" s="69" t="s">
        <v>21</v>
      </c>
      <c r="D353" s="70" t="s">
        <v>22</v>
      </c>
      <c r="E353" s="30">
        <v>1</v>
      </c>
      <c r="F353" s="30" t="s">
        <v>24</v>
      </c>
      <c r="G353" s="30">
        <v>1</v>
      </c>
      <c r="H353" s="30" t="s">
        <v>28</v>
      </c>
      <c r="I353" s="45" t="s">
        <v>49</v>
      </c>
      <c r="J353" s="71"/>
      <c r="K353" s="80"/>
      <c r="L353" s="73">
        <v>44652</v>
      </c>
      <c r="M353" s="30"/>
      <c r="N353" s="74" t="s">
        <v>249</v>
      </c>
      <c r="O353" s="30">
        <v>1</v>
      </c>
      <c r="P353" s="81"/>
      <c r="Q353" s="34" t="s">
        <v>27</v>
      </c>
      <c r="R353" s="75"/>
      <c r="S353" s="76"/>
      <c r="T353" s="77">
        <v>21.19</v>
      </c>
      <c r="U353" s="30">
        <f t="shared" si="25"/>
        <v>21.19</v>
      </c>
      <c r="V353" s="30">
        <f t="shared" si="23"/>
        <v>21.19</v>
      </c>
      <c r="W353" s="30">
        <f t="shared" si="24"/>
        <v>3.8142</v>
      </c>
      <c r="X353" s="79">
        <f t="shared" si="22"/>
        <v>25.004200000000001</v>
      </c>
      <c r="Y353" s="44"/>
    </row>
    <row r="354" spans="1:25" ht="31.2">
      <c r="A354" s="73">
        <v>44655</v>
      </c>
      <c r="B354" s="30" t="s">
        <v>436</v>
      </c>
      <c r="C354" s="69" t="s">
        <v>21</v>
      </c>
      <c r="D354" s="70" t="s">
        <v>22</v>
      </c>
      <c r="E354" s="30">
        <v>1</v>
      </c>
      <c r="F354" s="30" t="s">
        <v>24</v>
      </c>
      <c r="G354" s="30">
        <v>0.5</v>
      </c>
      <c r="H354" s="30" t="s">
        <v>28</v>
      </c>
      <c r="I354" s="45" t="s">
        <v>201</v>
      </c>
      <c r="J354" s="71"/>
      <c r="K354" s="80"/>
      <c r="L354" s="73">
        <v>44655</v>
      </c>
      <c r="M354" s="30"/>
      <c r="N354" s="74" t="s">
        <v>250</v>
      </c>
      <c r="O354" s="30">
        <v>1</v>
      </c>
      <c r="P354" s="81"/>
      <c r="Q354" s="34" t="s">
        <v>27</v>
      </c>
      <c r="R354" s="75"/>
      <c r="S354" s="76"/>
      <c r="T354" s="77">
        <v>6.78</v>
      </c>
      <c r="U354" s="30">
        <f t="shared" si="25"/>
        <v>6.78</v>
      </c>
      <c r="V354" s="30">
        <f t="shared" si="23"/>
        <v>6.78</v>
      </c>
      <c r="W354" s="30">
        <f t="shared" si="24"/>
        <v>1.2203999999999999</v>
      </c>
      <c r="X354" s="79">
        <f t="shared" si="22"/>
        <v>8.0004000000000008</v>
      </c>
      <c r="Y354" s="44"/>
    </row>
    <row r="355" spans="1:25" ht="31.2">
      <c r="A355" s="73">
        <v>44655</v>
      </c>
      <c r="B355" s="30" t="s">
        <v>436</v>
      </c>
      <c r="C355" s="69" t="s">
        <v>21</v>
      </c>
      <c r="D355" s="70" t="s">
        <v>22</v>
      </c>
      <c r="E355" s="30">
        <v>1</v>
      </c>
      <c r="F355" s="30" t="s">
        <v>24</v>
      </c>
      <c r="G355" s="30">
        <v>4</v>
      </c>
      <c r="H355" s="30" t="s">
        <v>28</v>
      </c>
      <c r="I355" s="45" t="s">
        <v>40</v>
      </c>
      <c r="J355" s="71"/>
      <c r="K355" s="80"/>
      <c r="L355" s="73">
        <v>44655</v>
      </c>
      <c r="M355" s="30"/>
      <c r="N355" s="74" t="s">
        <v>250</v>
      </c>
      <c r="O355" s="30">
        <v>1</v>
      </c>
      <c r="P355" s="81"/>
      <c r="Q355" s="34" t="s">
        <v>27</v>
      </c>
      <c r="R355" s="75"/>
      <c r="S355" s="76"/>
      <c r="T355" s="77">
        <v>16.95</v>
      </c>
      <c r="U355" s="30">
        <f t="shared" si="25"/>
        <v>16.95</v>
      </c>
      <c r="V355" s="30">
        <f t="shared" si="23"/>
        <v>16.95</v>
      </c>
      <c r="W355" s="30">
        <f t="shared" si="24"/>
        <v>3.0509999999999997</v>
      </c>
      <c r="X355" s="79">
        <f t="shared" si="22"/>
        <v>20.000999999999998</v>
      </c>
      <c r="Y355" s="44"/>
    </row>
    <row r="356" spans="1:25" ht="15.6">
      <c r="A356" s="73">
        <v>44655</v>
      </c>
      <c r="B356" s="30" t="s">
        <v>437</v>
      </c>
      <c r="C356" s="69" t="s">
        <v>21</v>
      </c>
      <c r="D356" s="70" t="s">
        <v>22</v>
      </c>
      <c r="E356" s="30">
        <v>1</v>
      </c>
      <c r="F356" s="30" t="s">
        <v>24</v>
      </c>
      <c r="G356" s="30">
        <v>4</v>
      </c>
      <c r="H356" s="30" t="s">
        <v>28</v>
      </c>
      <c r="I356" s="45" t="s">
        <v>35</v>
      </c>
      <c r="J356" s="71"/>
      <c r="K356" s="80"/>
      <c r="L356" s="73">
        <v>44655</v>
      </c>
      <c r="M356" s="30"/>
      <c r="N356" s="74" t="s">
        <v>251</v>
      </c>
      <c r="O356" s="30">
        <v>1</v>
      </c>
      <c r="P356" s="81"/>
      <c r="Q356" s="34" t="s">
        <v>27</v>
      </c>
      <c r="R356" s="75"/>
      <c r="S356" s="76"/>
      <c r="T356" s="77">
        <v>23.73</v>
      </c>
      <c r="U356" s="30">
        <f t="shared" si="25"/>
        <v>23.73</v>
      </c>
      <c r="V356" s="30">
        <f t="shared" si="23"/>
        <v>23.73</v>
      </c>
      <c r="W356" s="30">
        <f t="shared" si="24"/>
        <v>4.2713999999999999</v>
      </c>
      <c r="X356" s="79">
        <f t="shared" si="22"/>
        <v>28.0014</v>
      </c>
      <c r="Y356" s="44"/>
    </row>
    <row r="357" spans="1:25" ht="31.2">
      <c r="A357" s="73">
        <v>44655</v>
      </c>
      <c r="B357" s="30" t="s">
        <v>437</v>
      </c>
      <c r="C357" s="69" t="s">
        <v>21</v>
      </c>
      <c r="D357" s="70" t="s">
        <v>22</v>
      </c>
      <c r="E357" s="30">
        <v>1</v>
      </c>
      <c r="F357" s="30" t="s">
        <v>24</v>
      </c>
      <c r="G357" s="30">
        <v>0.5</v>
      </c>
      <c r="H357" s="30" t="s">
        <v>28</v>
      </c>
      <c r="I357" s="45" t="s">
        <v>52</v>
      </c>
      <c r="J357" s="71"/>
      <c r="K357" s="80"/>
      <c r="L357" s="73">
        <v>44655</v>
      </c>
      <c r="M357" s="30"/>
      <c r="N357" s="74" t="s">
        <v>251</v>
      </c>
      <c r="O357" s="30">
        <v>1</v>
      </c>
      <c r="P357" s="81"/>
      <c r="Q357" s="34" t="s">
        <v>27</v>
      </c>
      <c r="R357" s="75"/>
      <c r="S357" s="76"/>
      <c r="T357" s="77">
        <v>6.78</v>
      </c>
      <c r="U357" s="30">
        <f t="shared" si="25"/>
        <v>6.78</v>
      </c>
      <c r="V357" s="30">
        <f t="shared" si="23"/>
        <v>6.78</v>
      </c>
      <c r="W357" s="30">
        <f t="shared" si="24"/>
        <v>1.2203999999999999</v>
      </c>
      <c r="X357" s="79">
        <f t="shared" si="22"/>
        <v>8.0004000000000008</v>
      </c>
      <c r="Y357" s="44"/>
    </row>
    <row r="358" spans="1:25" ht="31.2">
      <c r="A358" s="73">
        <v>44655</v>
      </c>
      <c r="B358" s="30" t="s">
        <v>437</v>
      </c>
      <c r="C358" s="69" t="s">
        <v>21</v>
      </c>
      <c r="D358" s="70" t="s">
        <v>22</v>
      </c>
      <c r="E358" s="30">
        <v>1</v>
      </c>
      <c r="F358" s="30" t="s">
        <v>24</v>
      </c>
      <c r="G358" s="30">
        <v>1</v>
      </c>
      <c r="H358" s="30" t="s">
        <v>28</v>
      </c>
      <c r="I358" s="45" t="s">
        <v>31</v>
      </c>
      <c r="J358" s="71"/>
      <c r="K358" s="80"/>
      <c r="L358" s="73">
        <v>44655</v>
      </c>
      <c r="M358" s="30"/>
      <c r="N358" s="74" t="s">
        <v>251</v>
      </c>
      <c r="O358" s="30">
        <v>1</v>
      </c>
      <c r="P358" s="81"/>
      <c r="Q358" s="34" t="s">
        <v>27</v>
      </c>
      <c r="R358" s="75"/>
      <c r="S358" s="76"/>
      <c r="T358" s="77">
        <v>8.0500000000000007</v>
      </c>
      <c r="U358" s="30">
        <f t="shared" si="25"/>
        <v>8.0500000000000007</v>
      </c>
      <c r="V358" s="30">
        <f t="shared" si="23"/>
        <v>8.0500000000000007</v>
      </c>
      <c r="W358" s="30">
        <f t="shared" si="24"/>
        <v>1.4490000000000001</v>
      </c>
      <c r="X358" s="79">
        <f t="shared" si="22"/>
        <v>9.4990000000000006</v>
      </c>
      <c r="Y358" s="44"/>
    </row>
    <row r="359" spans="1:25" ht="31.2">
      <c r="A359" s="73">
        <v>44655</v>
      </c>
      <c r="B359" s="30" t="s">
        <v>437</v>
      </c>
      <c r="C359" s="69" t="s">
        <v>21</v>
      </c>
      <c r="D359" s="70" t="s">
        <v>22</v>
      </c>
      <c r="E359" s="30">
        <v>1</v>
      </c>
      <c r="F359" s="30" t="s">
        <v>24</v>
      </c>
      <c r="G359" s="30">
        <v>0.5</v>
      </c>
      <c r="H359" s="30" t="s">
        <v>28</v>
      </c>
      <c r="I359" s="45" t="s">
        <v>117</v>
      </c>
      <c r="J359" s="71"/>
      <c r="K359" s="80"/>
      <c r="L359" s="73">
        <v>44655</v>
      </c>
      <c r="M359" s="30"/>
      <c r="N359" s="74" t="s">
        <v>251</v>
      </c>
      <c r="O359" s="30">
        <v>1</v>
      </c>
      <c r="P359" s="81"/>
      <c r="Q359" s="34" t="s">
        <v>27</v>
      </c>
      <c r="R359" s="75"/>
      <c r="S359" s="76"/>
      <c r="T359" s="77">
        <v>6.78</v>
      </c>
      <c r="U359" s="30">
        <f t="shared" si="25"/>
        <v>6.78</v>
      </c>
      <c r="V359" s="30">
        <f t="shared" si="23"/>
        <v>6.78</v>
      </c>
      <c r="W359" s="30">
        <f t="shared" si="24"/>
        <v>1.2203999999999999</v>
      </c>
      <c r="X359" s="79">
        <f t="shared" si="22"/>
        <v>8.0004000000000008</v>
      </c>
      <c r="Y359" s="44"/>
    </row>
    <row r="360" spans="1:25" ht="31.2">
      <c r="A360" s="73">
        <v>44655</v>
      </c>
      <c r="B360" s="30" t="s">
        <v>438</v>
      </c>
      <c r="C360" s="69" t="s">
        <v>21</v>
      </c>
      <c r="D360" s="70" t="s">
        <v>22</v>
      </c>
      <c r="E360" s="30">
        <v>1</v>
      </c>
      <c r="F360" s="30" t="s">
        <v>24</v>
      </c>
      <c r="G360" s="30">
        <v>0.5</v>
      </c>
      <c r="H360" s="30" t="s">
        <v>28</v>
      </c>
      <c r="I360" s="45" t="s">
        <v>52</v>
      </c>
      <c r="J360" s="71"/>
      <c r="K360" s="80"/>
      <c r="L360" s="73">
        <v>44655</v>
      </c>
      <c r="M360" s="30"/>
      <c r="N360" s="74" t="s">
        <v>252</v>
      </c>
      <c r="O360" s="30">
        <v>1</v>
      </c>
      <c r="P360" s="81"/>
      <c r="Q360" s="34" t="s">
        <v>27</v>
      </c>
      <c r="R360" s="75"/>
      <c r="S360" s="76"/>
      <c r="T360" s="77">
        <v>6.78</v>
      </c>
      <c r="U360" s="30">
        <f t="shared" si="25"/>
        <v>6.78</v>
      </c>
      <c r="V360" s="30">
        <f t="shared" si="23"/>
        <v>6.78</v>
      </c>
      <c r="W360" s="30">
        <f t="shared" si="24"/>
        <v>1.2203999999999999</v>
      </c>
      <c r="X360" s="79">
        <f t="shared" si="22"/>
        <v>8.0004000000000008</v>
      </c>
      <c r="Y360" s="44"/>
    </row>
    <row r="361" spans="1:25" ht="78">
      <c r="A361" s="73">
        <v>44655</v>
      </c>
      <c r="B361" s="30" t="s">
        <v>439</v>
      </c>
      <c r="C361" s="69" t="s">
        <v>21</v>
      </c>
      <c r="D361" s="70" t="s">
        <v>22</v>
      </c>
      <c r="E361" s="30">
        <v>1</v>
      </c>
      <c r="F361" s="30" t="s">
        <v>24</v>
      </c>
      <c r="G361" s="30">
        <v>1</v>
      </c>
      <c r="H361" s="30" t="s">
        <v>32</v>
      </c>
      <c r="I361" s="45" t="s">
        <v>198</v>
      </c>
      <c r="J361" s="71"/>
      <c r="K361" s="80"/>
      <c r="L361" s="73">
        <v>44655</v>
      </c>
      <c r="M361" s="30"/>
      <c r="N361" s="74">
        <v>87</v>
      </c>
      <c r="O361" s="30">
        <v>1</v>
      </c>
      <c r="P361" s="81"/>
      <c r="Q361" s="34" t="s">
        <v>27</v>
      </c>
      <c r="R361" s="75"/>
      <c r="S361" s="76"/>
      <c r="T361" s="77">
        <v>27.97</v>
      </c>
      <c r="U361" s="30">
        <f t="shared" si="25"/>
        <v>27.97</v>
      </c>
      <c r="V361" s="30">
        <f t="shared" si="23"/>
        <v>27.97</v>
      </c>
      <c r="W361" s="30">
        <f t="shared" si="24"/>
        <v>5.0345999999999993</v>
      </c>
      <c r="X361" s="79">
        <f t="shared" si="22"/>
        <v>33.004599999999996</v>
      </c>
      <c r="Y361" s="44"/>
    </row>
    <row r="362" spans="1:25" ht="62.4">
      <c r="A362" s="73">
        <v>44656</v>
      </c>
      <c r="B362" s="30" t="s">
        <v>277</v>
      </c>
      <c r="C362" s="69" t="s">
        <v>21</v>
      </c>
      <c r="D362" s="70" t="s">
        <v>22</v>
      </c>
      <c r="E362" s="30">
        <v>1</v>
      </c>
      <c r="F362" s="30" t="s">
        <v>24</v>
      </c>
      <c r="G362" s="30">
        <v>1</v>
      </c>
      <c r="H362" s="30" t="s">
        <v>32</v>
      </c>
      <c r="I362" s="45" t="s">
        <v>72</v>
      </c>
      <c r="J362" s="71"/>
      <c r="K362" s="80"/>
      <c r="L362" s="73">
        <v>44656</v>
      </c>
      <c r="M362" s="30"/>
      <c r="N362" s="74" t="s">
        <v>253</v>
      </c>
      <c r="O362" s="30">
        <v>1</v>
      </c>
      <c r="P362" s="81"/>
      <c r="Q362" s="34" t="s">
        <v>27</v>
      </c>
      <c r="R362" s="75"/>
      <c r="S362" s="76"/>
      <c r="T362" s="77">
        <v>16.96</v>
      </c>
      <c r="U362" s="30">
        <f t="shared" si="25"/>
        <v>16.96</v>
      </c>
      <c r="V362" s="30">
        <f t="shared" si="23"/>
        <v>16.96</v>
      </c>
      <c r="W362" s="30">
        <f t="shared" si="24"/>
        <v>3.0528</v>
      </c>
      <c r="X362" s="79">
        <f t="shared" si="22"/>
        <v>20.012800000000002</v>
      </c>
      <c r="Y362" s="44"/>
    </row>
    <row r="363" spans="1:25" ht="93.6">
      <c r="A363" s="73">
        <v>44656</v>
      </c>
      <c r="B363" s="30" t="s">
        <v>277</v>
      </c>
      <c r="C363" s="69" t="s">
        <v>21</v>
      </c>
      <c r="D363" s="70" t="s">
        <v>22</v>
      </c>
      <c r="E363" s="30">
        <v>1</v>
      </c>
      <c r="F363" s="30" t="s">
        <v>24</v>
      </c>
      <c r="G363" s="30">
        <v>1</v>
      </c>
      <c r="H363" s="30" t="s">
        <v>32</v>
      </c>
      <c r="I363" s="45" t="s">
        <v>33</v>
      </c>
      <c r="J363" s="71"/>
      <c r="K363" s="80"/>
      <c r="L363" s="73">
        <v>44656</v>
      </c>
      <c r="M363" s="30"/>
      <c r="N363" s="74" t="s">
        <v>253</v>
      </c>
      <c r="O363" s="30">
        <v>1</v>
      </c>
      <c r="P363" s="81"/>
      <c r="Q363" s="34" t="s">
        <v>27</v>
      </c>
      <c r="R363" s="75"/>
      <c r="S363" s="76"/>
      <c r="T363" s="77">
        <v>118.64</v>
      </c>
      <c r="U363" s="30">
        <f t="shared" si="25"/>
        <v>118.64</v>
      </c>
      <c r="V363" s="30">
        <f t="shared" si="23"/>
        <v>118.64</v>
      </c>
      <c r="W363" s="30">
        <f t="shared" si="24"/>
        <v>21.3552</v>
      </c>
      <c r="X363" s="79">
        <f t="shared" si="22"/>
        <v>139.99520000000001</v>
      </c>
      <c r="Y363" s="44"/>
    </row>
    <row r="364" spans="1:25" ht="46.8">
      <c r="A364" s="73">
        <v>44656</v>
      </c>
      <c r="B364" s="30" t="s">
        <v>277</v>
      </c>
      <c r="C364" s="69" t="s">
        <v>21</v>
      </c>
      <c r="D364" s="70" t="s">
        <v>22</v>
      </c>
      <c r="E364" s="30">
        <v>1</v>
      </c>
      <c r="F364" s="30" t="s">
        <v>24</v>
      </c>
      <c r="G364" s="30">
        <v>4</v>
      </c>
      <c r="H364" s="30" t="s">
        <v>28</v>
      </c>
      <c r="I364" s="45" t="s">
        <v>45</v>
      </c>
      <c r="J364" s="71"/>
      <c r="K364" s="80"/>
      <c r="L364" s="73">
        <v>44656</v>
      </c>
      <c r="M364" s="30"/>
      <c r="N364" s="74" t="s">
        <v>253</v>
      </c>
      <c r="O364" s="30">
        <v>1</v>
      </c>
      <c r="P364" s="81"/>
      <c r="Q364" s="34" t="s">
        <v>27</v>
      </c>
      <c r="R364" s="75"/>
      <c r="S364" s="76"/>
      <c r="T364" s="77">
        <v>34.75</v>
      </c>
      <c r="U364" s="30">
        <f t="shared" si="25"/>
        <v>34.75</v>
      </c>
      <c r="V364" s="30">
        <f t="shared" si="23"/>
        <v>34.75</v>
      </c>
      <c r="W364" s="30">
        <f t="shared" si="24"/>
        <v>6.2549999999999999</v>
      </c>
      <c r="X364" s="79">
        <f t="shared" si="22"/>
        <v>41.005000000000003</v>
      </c>
      <c r="Y364" s="44"/>
    </row>
    <row r="365" spans="1:25" ht="31.2">
      <c r="A365" s="73">
        <v>44656</v>
      </c>
      <c r="B365" s="30" t="s">
        <v>277</v>
      </c>
      <c r="C365" s="69" t="s">
        <v>21</v>
      </c>
      <c r="D365" s="70" t="s">
        <v>22</v>
      </c>
      <c r="E365" s="30">
        <v>1</v>
      </c>
      <c r="F365" s="30" t="s">
        <v>24</v>
      </c>
      <c r="G365" s="30">
        <v>1</v>
      </c>
      <c r="H365" s="30" t="s">
        <v>28</v>
      </c>
      <c r="I365" s="45" t="s">
        <v>41</v>
      </c>
      <c r="J365" s="71"/>
      <c r="K365" s="80"/>
      <c r="L365" s="73">
        <v>44656</v>
      </c>
      <c r="M365" s="30"/>
      <c r="N365" s="74" t="s">
        <v>253</v>
      </c>
      <c r="O365" s="30">
        <v>1</v>
      </c>
      <c r="P365" s="81"/>
      <c r="Q365" s="34" t="s">
        <v>27</v>
      </c>
      <c r="R365" s="75"/>
      <c r="S365" s="76"/>
      <c r="T365" s="77">
        <v>9.75</v>
      </c>
      <c r="U365" s="30">
        <f t="shared" si="25"/>
        <v>9.75</v>
      </c>
      <c r="V365" s="30">
        <f t="shared" si="23"/>
        <v>9.75</v>
      </c>
      <c r="W365" s="30">
        <f t="shared" si="24"/>
        <v>1.7549999999999999</v>
      </c>
      <c r="X365" s="79">
        <f t="shared" si="22"/>
        <v>11.504999999999999</v>
      </c>
      <c r="Y365" s="44"/>
    </row>
    <row r="366" spans="1:25" ht="15.6">
      <c r="A366" s="73">
        <v>44656</v>
      </c>
      <c r="B366" s="30" t="s">
        <v>277</v>
      </c>
      <c r="C366" s="69" t="s">
        <v>21</v>
      </c>
      <c r="D366" s="70" t="s">
        <v>22</v>
      </c>
      <c r="E366" s="30">
        <v>1</v>
      </c>
      <c r="F366" s="30" t="s">
        <v>24</v>
      </c>
      <c r="G366" s="30">
        <v>20</v>
      </c>
      <c r="H366" s="30" t="s">
        <v>28</v>
      </c>
      <c r="I366" s="45" t="s">
        <v>114</v>
      </c>
      <c r="J366" s="71"/>
      <c r="K366" s="80"/>
      <c r="L366" s="73">
        <v>44656</v>
      </c>
      <c r="M366" s="30"/>
      <c r="N366" s="74" t="s">
        <v>253</v>
      </c>
      <c r="O366" s="30">
        <v>1</v>
      </c>
      <c r="P366" s="81"/>
      <c r="Q366" s="34" t="s">
        <v>27</v>
      </c>
      <c r="R366" s="75"/>
      <c r="S366" s="76"/>
      <c r="T366" s="77">
        <v>114.41</v>
      </c>
      <c r="U366" s="30">
        <f t="shared" si="25"/>
        <v>114.41</v>
      </c>
      <c r="V366" s="30">
        <f t="shared" si="23"/>
        <v>114.41</v>
      </c>
      <c r="W366" s="30">
        <f t="shared" si="24"/>
        <v>20.593799999999998</v>
      </c>
      <c r="X366" s="79">
        <f t="shared" si="22"/>
        <v>135.00379999999998</v>
      </c>
      <c r="Y366" s="44"/>
    </row>
    <row r="367" spans="1:25" ht="31.2">
      <c r="A367" s="73">
        <v>44656</v>
      </c>
      <c r="B367" s="30" t="s">
        <v>440</v>
      </c>
      <c r="C367" s="69" t="s">
        <v>21</v>
      </c>
      <c r="D367" s="70" t="s">
        <v>22</v>
      </c>
      <c r="E367" s="30">
        <v>1</v>
      </c>
      <c r="F367" s="30" t="s">
        <v>24</v>
      </c>
      <c r="G367" s="30">
        <v>4</v>
      </c>
      <c r="H367" s="30" t="s">
        <v>28</v>
      </c>
      <c r="I367" s="45" t="s">
        <v>98</v>
      </c>
      <c r="J367" s="71"/>
      <c r="K367" s="80"/>
      <c r="L367" s="73">
        <v>44656</v>
      </c>
      <c r="M367" s="30"/>
      <c r="N367" s="74" t="s">
        <v>254</v>
      </c>
      <c r="O367" s="30">
        <v>1</v>
      </c>
      <c r="P367" s="81"/>
      <c r="Q367" s="34" t="s">
        <v>27</v>
      </c>
      <c r="R367" s="75"/>
      <c r="S367" s="76"/>
      <c r="T367" s="77">
        <v>16.53</v>
      </c>
      <c r="U367" s="30">
        <f t="shared" si="25"/>
        <v>16.53</v>
      </c>
      <c r="V367" s="30">
        <f t="shared" si="23"/>
        <v>16.53</v>
      </c>
      <c r="W367" s="30">
        <f t="shared" si="24"/>
        <v>2.9754</v>
      </c>
      <c r="X367" s="79">
        <f t="shared" si="22"/>
        <v>19.505400000000002</v>
      </c>
      <c r="Y367" s="44"/>
    </row>
    <row r="368" spans="1:25" ht="31.2">
      <c r="A368" s="73">
        <v>44656</v>
      </c>
      <c r="B368" s="30" t="s">
        <v>440</v>
      </c>
      <c r="C368" s="69" t="s">
        <v>21</v>
      </c>
      <c r="D368" s="70" t="s">
        <v>22</v>
      </c>
      <c r="E368" s="30">
        <v>1</v>
      </c>
      <c r="F368" s="30" t="s">
        <v>24</v>
      </c>
      <c r="G368" s="30">
        <v>4</v>
      </c>
      <c r="H368" s="30" t="s">
        <v>28</v>
      </c>
      <c r="I368" s="45" t="s">
        <v>57</v>
      </c>
      <c r="J368" s="71"/>
      <c r="K368" s="80"/>
      <c r="L368" s="73">
        <v>44656</v>
      </c>
      <c r="M368" s="30"/>
      <c r="N368" s="74" t="s">
        <v>254</v>
      </c>
      <c r="O368" s="30">
        <v>1</v>
      </c>
      <c r="P368" s="81"/>
      <c r="Q368" s="34" t="s">
        <v>27</v>
      </c>
      <c r="R368" s="75"/>
      <c r="S368" s="76"/>
      <c r="T368" s="77">
        <v>16.95</v>
      </c>
      <c r="U368" s="30">
        <f t="shared" si="25"/>
        <v>16.95</v>
      </c>
      <c r="V368" s="30">
        <f t="shared" si="23"/>
        <v>16.95</v>
      </c>
      <c r="W368" s="30">
        <f t="shared" si="24"/>
        <v>3.0509999999999997</v>
      </c>
      <c r="X368" s="79">
        <f t="shared" si="22"/>
        <v>20.000999999999998</v>
      </c>
      <c r="Y368" s="44"/>
    </row>
    <row r="369" spans="1:25" ht="62.4">
      <c r="A369" s="73">
        <v>44656</v>
      </c>
      <c r="B369" s="30" t="s">
        <v>440</v>
      </c>
      <c r="C369" s="69" t="s">
        <v>21</v>
      </c>
      <c r="D369" s="70" t="s">
        <v>22</v>
      </c>
      <c r="E369" s="30">
        <v>1</v>
      </c>
      <c r="F369" s="30" t="s">
        <v>24</v>
      </c>
      <c r="G369" s="30">
        <v>4</v>
      </c>
      <c r="H369" s="30" t="s">
        <v>28</v>
      </c>
      <c r="I369" s="45" t="s">
        <v>255</v>
      </c>
      <c r="J369" s="71"/>
      <c r="K369" s="80"/>
      <c r="L369" s="73">
        <v>44656</v>
      </c>
      <c r="M369" s="30"/>
      <c r="N369" s="74" t="s">
        <v>254</v>
      </c>
      <c r="O369" s="30">
        <v>1</v>
      </c>
      <c r="P369" s="81"/>
      <c r="Q369" s="34" t="s">
        <v>27</v>
      </c>
      <c r="R369" s="75"/>
      <c r="S369" s="76"/>
      <c r="T369" s="77">
        <v>12.71</v>
      </c>
      <c r="U369" s="30">
        <f t="shared" si="25"/>
        <v>12.71</v>
      </c>
      <c r="V369" s="30">
        <f t="shared" si="23"/>
        <v>12.71</v>
      </c>
      <c r="W369" s="30">
        <f t="shared" si="24"/>
        <v>2.2878000000000003</v>
      </c>
      <c r="X369" s="79">
        <f t="shared" si="22"/>
        <v>14.997800000000002</v>
      </c>
      <c r="Y369" s="44"/>
    </row>
    <row r="370" spans="1:25" ht="46.8">
      <c r="A370" s="73">
        <v>44656</v>
      </c>
      <c r="B370" s="30" t="s">
        <v>441</v>
      </c>
      <c r="C370" s="69" t="s">
        <v>21</v>
      </c>
      <c r="D370" s="70" t="s">
        <v>22</v>
      </c>
      <c r="E370" s="30">
        <v>1</v>
      </c>
      <c r="F370" s="30" t="s">
        <v>24</v>
      </c>
      <c r="G370" s="30">
        <v>4</v>
      </c>
      <c r="H370" s="30" t="s">
        <v>28</v>
      </c>
      <c r="I370" s="45" t="s">
        <v>45</v>
      </c>
      <c r="J370" s="71"/>
      <c r="K370" s="80"/>
      <c r="L370" s="73">
        <v>44656</v>
      </c>
      <c r="M370" s="30"/>
      <c r="N370" s="74" t="s">
        <v>256</v>
      </c>
      <c r="O370" s="30">
        <v>1</v>
      </c>
      <c r="P370" s="81"/>
      <c r="Q370" s="34" t="s">
        <v>27</v>
      </c>
      <c r="R370" s="75"/>
      <c r="S370" s="76"/>
      <c r="T370" s="77">
        <v>34.75</v>
      </c>
      <c r="U370" s="30">
        <f t="shared" si="25"/>
        <v>34.75</v>
      </c>
      <c r="V370" s="30">
        <f t="shared" si="23"/>
        <v>34.75</v>
      </c>
      <c r="W370" s="30">
        <f t="shared" si="24"/>
        <v>6.2549999999999999</v>
      </c>
      <c r="X370" s="79">
        <f t="shared" si="22"/>
        <v>41.005000000000003</v>
      </c>
      <c r="Y370" s="44"/>
    </row>
    <row r="371" spans="1:25" ht="31.2">
      <c r="A371" s="73">
        <v>44656</v>
      </c>
      <c r="B371" s="30" t="s">
        <v>442</v>
      </c>
      <c r="C371" s="69" t="s">
        <v>21</v>
      </c>
      <c r="D371" s="70" t="s">
        <v>22</v>
      </c>
      <c r="E371" s="30">
        <v>1</v>
      </c>
      <c r="F371" s="30" t="s">
        <v>24</v>
      </c>
      <c r="G371" s="30">
        <v>1</v>
      </c>
      <c r="H371" s="30" t="s">
        <v>28</v>
      </c>
      <c r="I371" s="45" t="s">
        <v>31</v>
      </c>
      <c r="J371" s="71"/>
      <c r="K371" s="80"/>
      <c r="L371" s="73">
        <v>44656</v>
      </c>
      <c r="M371" s="30"/>
      <c r="N371" s="74" t="s">
        <v>257</v>
      </c>
      <c r="O371" s="30">
        <v>1</v>
      </c>
      <c r="P371" s="81"/>
      <c r="Q371" s="34" t="s">
        <v>27</v>
      </c>
      <c r="R371" s="75"/>
      <c r="S371" s="76"/>
      <c r="T371" s="77">
        <v>8.0500000000000007</v>
      </c>
      <c r="U371" s="30">
        <f t="shared" si="25"/>
        <v>8.0500000000000007</v>
      </c>
      <c r="V371" s="30">
        <f t="shared" si="23"/>
        <v>8.0500000000000007</v>
      </c>
      <c r="W371" s="30">
        <f t="shared" si="24"/>
        <v>1.4490000000000001</v>
      </c>
      <c r="X371" s="79">
        <f t="shared" si="22"/>
        <v>9.4990000000000006</v>
      </c>
      <c r="Y371" s="44"/>
    </row>
    <row r="372" spans="1:25" ht="46.8">
      <c r="A372" s="73">
        <v>44656</v>
      </c>
      <c r="B372" s="30" t="s">
        <v>442</v>
      </c>
      <c r="C372" s="69" t="s">
        <v>21</v>
      </c>
      <c r="D372" s="70" t="s">
        <v>22</v>
      </c>
      <c r="E372" s="30">
        <v>1</v>
      </c>
      <c r="F372" s="30" t="s">
        <v>24</v>
      </c>
      <c r="G372" s="30">
        <v>1</v>
      </c>
      <c r="H372" s="30" t="s">
        <v>28</v>
      </c>
      <c r="I372" s="45" t="s">
        <v>73</v>
      </c>
      <c r="J372" s="71"/>
      <c r="K372" s="80"/>
      <c r="L372" s="73">
        <v>44656</v>
      </c>
      <c r="M372" s="30"/>
      <c r="N372" s="74" t="s">
        <v>258</v>
      </c>
      <c r="O372" s="30">
        <v>1</v>
      </c>
      <c r="P372" s="81"/>
      <c r="Q372" s="34" t="s">
        <v>27</v>
      </c>
      <c r="R372" s="75"/>
      <c r="S372" s="76"/>
      <c r="T372" s="77">
        <v>10.17</v>
      </c>
      <c r="U372" s="30">
        <f t="shared" si="25"/>
        <v>10.17</v>
      </c>
      <c r="V372" s="30">
        <f t="shared" si="23"/>
        <v>10.17</v>
      </c>
      <c r="W372" s="30">
        <f t="shared" si="24"/>
        <v>1.8306</v>
      </c>
      <c r="X372" s="79">
        <f t="shared" si="22"/>
        <v>12.0006</v>
      </c>
      <c r="Y372" s="44"/>
    </row>
    <row r="373" spans="1:25" ht="31.2">
      <c r="A373" s="73">
        <v>44656</v>
      </c>
      <c r="B373" s="30" t="s">
        <v>362</v>
      </c>
      <c r="C373" s="69" t="s">
        <v>21</v>
      </c>
      <c r="D373" s="70" t="s">
        <v>22</v>
      </c>
      <c r="E373" s="30">
        <v>1</v>
      </c>
      <c r="F373" s="30" t="s">
        <v>24</v>
      </c>
      <c r="G373" s="30">
        <v>4</v>
      </c>
      <c r="H373" s="30" t="s">
        <v>28</v>
      </c>
      <c r="I373" s="45" t="s">
        <v>31</v>
      </c>
      <c r="J373" s="71"/>
      <c r="K373" s="80"/>
      <c r="L373" s="73">
        <v>44656</v>
      </c>
      <c r="M373" s="30"/>
      <c r="N373" s="74" t="s">
        <v>259</v>
      </c>
      <c r="O373" s="30">
        <v>1</v>
      </c>
      <c r="P373" s="81"/>
      <c r="Q373" s="34" t="s">
        <v>27</v>
      </c>
      <c r="R373" s="75"/>
      <c r="S373" s="76"/>
      <c r="T373" s="77">
        <v>21.19</v>
      </c>
      <c r="U373" s="30">
        <f t="shared" si="25"/>
        <v>21.19</v>
      </c>
      <c r="V373" s="30">
        <f t="shared" si="23"/>
        <v>21.19</v>
      </c>
      <c r="W373" s="30">
        <f t="shared" si="24"/>
        <v>3.8142</v>
      </c>
      <c r="X373" s="79">
        <f t="shared" si="22"/>
        <v>25.004200000000001</v>
      </c>
      <c r="Y373" s="44"/>
    </row>
    <row r="374" spans="1:25" ht="31.2">
      <c r="A374" s="73">
        <v>44656</v>
      </c>
      <c r="B374" s="30" t="s">
        <v>362</v>
      </c>
      <c r="C374" s="69" t="s">
        <v>21</v>
      </c>
      <c r="D374" s="70" t="s">
        <v>22</v>
      </c>
      <c r="E374" s="30">
        <v>1</v>
      </c>
      <c r="F374" s="30" t="s">
        <v>24</v>
      </c>
      <c r="G374" s="30">
        <v>4</v>
      </c>
      <c r="H374" s="30" t="s">
        <v>28</v>
      </c>
      <c r="I374" s="45" t="s">
        <v>57</v>
      </c>
      <c r="J374" s="71"/>
      <c r="K374" s="80"/>
      <c r="L374" s="73">
        <v>44656</v>
      </c>
      <c r="M374" s="30"/>
      <c r="N374" s="74" t="s">
        <v>259</v>
      </c>
      <c r="O374" s="30">
        <v>1</v>
      </c>
      <c r="P374" s="81"/>
      <c r="Q374" s="34" t="s">
        <v>27</v>
      </c>
      <c r="R374" s="75"/>
      <c r="S374" s="76"/>
      <c r="T374" s="77">
        <v>16.95</v>
      </c>
      <c r="U374" s="30">
        <f t="shared" si="25"/>
        <v>16.95</v>
      </c>
      <c r="V374" s="30">
        <f t="shared" si="23"/>
        <v>16.95</v>
      </c>
      <c r="W374" s="30">
        <f t="shared" si="24"/>
        <v>3.0509999999999997</v>
      </c>
      <c r="X374" s="79">
        <f t="shared" si="22"/>
        <v>20.000999999999998</v>
      </c>
      <c r="Y374" s="44"/>
    </row>
    <row r="375" spans="1:25" ht="31.2">
      <c r="A375" s="73">
        <v>44656</v>
      </c>
      <c r="B375" s="30" t="s">
        <v>362</v>
      </c>
      <c r="C375" s="69" t="s">
        <v>21</v>
      </c>
      <c r="D375" s="70" t="s">
        <v>22</v>
      </c>
      <c r="E375" s="30">
        <v>1</v>
      </c>
      <c r="F375" s="30" t="s">
        <v>24</v>
      </c>
      <c r="G375" s="30">
        <v>1</v>
      </c>
      <c r="H375" s="30" t="s">
        <v>28</v>
      </c>
      <c r="I375" s="45" t="s">
        <v>201</v>
      </c>
      <c r="J375" s="71"/>
      <c r="K375" s="80"/>
      <c r="L375" s="73">
        <v>44656</v>
      </c>
      <c r="M375" s="30"/>
      <c r="N375" s="74" t="s">
        <v>259</v>
      </c>
      <c r="O375" s="30">
        <v>1</v>
      </c>
      <c r="P375" s="81"/>
      <c r="Q375" s="34" t="s">
        <v>27</v>
      </c>
      <c r="R375" s="75"/>
      <c r="S375" s="76"/>
      <c r="T375" s="77">
        <v>10.17</v>
      </c>
      <c r="U375" s="30">
        <f t="shared" si="25"/>
        <v>10.17</v>
      </c>
      <c r="V375" s="30">
        <f t="shared" si="23"/>
        <v>10.17</v>
      </c>
      <c r="W375" s="30">
        <f t="shared" si="24"/>
        <v>1.8306</v>
      </c>
      <c r="X375" s="79">
        <f t="shared" si="22"/>
        <v>12.0006</v>
      </c>
      <c r="Y375" s="44"/>
    </row>
    <row r="376" spans="1:25" ht="31.2">
      <c r="A376" s="73">
        <v>44660</v>
      </c>
      <c r="B376" s="30" t="s">
        <v>443</v>
      </c>
      <c r="C376" s="69" t="s">
        <v>21</v>
      </c>
      <c r="D376" s="70" t="s">
        <v>22</v>
      </c>
      <c r="E376" s="30">
        <v>1</v>
      </c>
      <c r="F376" s="30" t="s">
        <v>24</v>
      </c>
      <c r="G376" s="30">
        <v>0.5</v>
      </c>
      <c r="H376" s="30" t="s">
        <v>28</v>
      </c>
      <c r="I376" s="45" t="s">
        <v>82</v>
      </c>
      <c r="J376" s="71"/>
      <c r="K376" s="80"/>
      <c r="L376" s="73">
        <v>44656</v>
      </c>
      <c r="M376" s="30"/>
      <c r="N376" s="74" t="s">
        <v>260</v>
      </c>
      <c r="O376" s="30">
        <v>1</v>
      </c>
      <c r="P376" s="81"/>
      <c r="Q376" s="34" t="s">
        <v>27</v>
      </c>
      <c r="R376" s="75"/>
      <c r="S376" s="76"/>
      <c r="T376" s="77">
        <v>6.78</v>
      </c>
      <c r="U376" s="30">
        <f t="shared" si="25"/>
        <v>6.78</v>
      </c>
      <c r="V376" s="30">
        <f t="shared" si="23"/>
        <v>6.78</v>
      </c>
      <c r="W376" s="30">
        <f t="shared" si="24"/>
        <v>1.2203999999999999</v>
      </c>
      <c r="X376" s="79">
        <f t="shared" si="22"/>
        <v>8.0004000000000008</v>
      </c>
      <c r="Y376" s="44"/>
    </row>
    <row r="377" spans="1:25" ht="46.8">
      <c r="A377" s="73">
        <v>44660</v>
      </c>
      <c r="B377" s="30" t="s">
        <v>277</v>
      </c>
      <c r="C377" s="69" t="s">
        <v>21</v>
      </c>
      <c r="D377" s="70" t="s">
        <v>22</v>
      </c>
      <c r="E377" s="30">
        <v>1</v>
      </c>
      <c r="F377" s="30" t="s">
        <v>24</v>
      </c>
      <c r="G377" s="30">
        <v>4</v>
      </c>
      <c r="H377" s="30" t="s">
        <v>28</v>
      </c>
      <c r="I377" s="45" t="s">
        <v>261</v>
      </c>
      <c r="J377" s="71"/>
      <c r="K377" s="80"/>
      <c r="L377" s="73">
        <v>44660</v>
      </c>
      <c r="M377" s="30"/>
      <c r="N377" s="74" t="s">
        <v>262</v>
      </c>
      <c r="O377" s="30">
        <v>1</v>
      </c>
      <c r="P377" s="81"/>
      <c r="Q377" s="34" t="s">
        <v>27</v>
      </c>
      <c r="R377" s="75"/>
      <c r="S377" s="76"/>
      <c r="T377" s="77">
        <v>16.53</v>
      </c>
      <c r="U377" s="30">
        <f t="shared" si="25"/>
        <v>16.53</v>
      </c>
      <c r="V377" s="30">
        <f t="shared" si="23"/>
        <v>16.53</v>
      </c>
      <c r="W377" s="30">
        <f t="shared" si="24"/>
        <v>2.9754</v>
      </c>
      <c r="X377" s="79">
        <f t="shared" si="22"/>
        <v>19.505400000000002</v>
      </c>
      <c r="Y377" s="44"/>
    </row>
    <row r="378" spans="1:25" ht="31.2">
      <c r="A378" s="73">
        <v>44662</v>
      </c>
      <c r="B378" s="30" t="s">
        <v>310</v>
      </c>
      <c r="C378" s="69" t="s">
        <v>21</v>
      </c>
      <c r="D378" s="70" t="s">
        <v>22</v>
      </c>
      <c r="E378" s="30">
        <v>1</v>
      </c>
      <c r="F378" s="30" t="s">
        <v>24</v>
      </c>
      <c r="G378" s="30">
        <v>4</v>
      </c>
      <c r="H378" s="30" t="s">
        <v>28</v>
      </c>
      <c r="I378" s="45" t="s">
        <v>57</v>
      </c>
      <c r="J378" s="71"/>
      <c r="K378" s="80"/>
      <c r="L378" s="73">
        <v>44662</v>
      </c>
      <c r="M378" s="30"/>
      <c r="N378" s="74" t="s">
        <v>263</v>
      </c>
      <c r="O378" s="30">
        <v>1</v>
      </c>
      <c r="P378" s="81"/>
      <c r="Q378" s="34" t="s">
        <v>27</v>
      </c>
      <c r="R378" s="75"/>
      <c r="S378" s="76"/>
      <c r="T378" s="77">
        <v>16.95</v>
      </c>
      <c r="U378" s="30">
        <f t="shared" si="25"/>
        <v>16.95</v>
      </c>
      <c r="V378" s="30">
        <f t="shared" si="23"/>
        <v>16.95</v>
      </c>
      <c r="W378" s="30">
        <f t="shared" si="24"/>
        <v>3.0509999999999997</v>
      </c>
      <c r="X378" s="79">
        <f t="shared" si="22"/>
        <v>20.000999999999998</v>
      </c>
      <c r="Y378" s="44"/>
    </row>
    <row r="379" spans="1:25" ht="31.2">
      <c r="A379" s="73">
        <v>44662</v>
      </c>
      <c r="B379" s="30" t="s">
        <v>310</v>
      </c>
      <c r="C379" s="69" t="s">
        <v>21</v>
      </c>
      <c r="D379" s="70" t="s">
        <v>22</v>
      </c>
      <c r="E379" s="30">
        <v>1</v>
      </c>
      <c r="F379" s="30" t="s">
        <v>24</v>
      </c>
      <c r="G379" s="30">
        <v>4</v>
      </c>
      <c r="H379" s="30" t="s">
        <v>28</v>
      </c>
      <c r="I379" s="45" t="s">
        <v>92</v>
      </c>
      <c r="J379" s="71"/>
      <c r="K379" s="80"/>
      <c r="L379" s="73">
        <v>44662</v>
      </c>
      <c r="M379" s="30"/>
      <c r="N379" s="74" t="s">
        <v>263</v>
      </c>
      <c r="O379" s="30">
        <v>1</v>
      </c>
      <c r="P379" s="81"/>
      <c r="Q379" s="34" t="s">
        <v>27</v>
      </c>
      <c r="R379" s="75"/>
      <c r="S379" s="76"/>
      <c r="T379" s="77">
        <v>27.97</v>
      </c>
      <c r="U379" s="30">
        <f t="shared" si="25"/>
        <v>27.97</v>
      </c>
      <c r="V379" s="30">
        <f t="shared" si="23"/>
        <v>27.97</v>
      </c>
      <c r="W379" s="30">
        <f t="shared" si="24"/>
        <v>5.0345999999999993</v>
      </c>
      <c r="X379" s="79">
        <f t="shared" si="22"/>
        <v>33.004599999999996</v>
      </c>
      <c r="Y379" s="44"/>
    </row>
    <row r="380" spans="1:25" ht="31.2">
      <c r="A380" s="73">
        <v>44662</v>
      </c>
      <c r="B380" s="30" t="s">
        <v>444</v>
      </c>
      <c r="C380" s="69" t="s">
        <v>21</v>
      </c>
      <c r="D380" s="70" t="s">
        <v>22</v>
      </c>
      <c r="E380" s="30">
        <v>1</v>
      </c>
      <c r="F380" s="30" t="s">
        <v>24</v>
      </c>
      <c r="G380" s="30">
        <v>4</v>
      </c>
      <c r="H380" s="30" t="s">
        <v>28</v>
      </c>
      <c r="I380" s="45" t="s">
        <v>82</v>
      </c>
      <c r="J380" s="71"/>
      <c r="K380" s="80"/>
      <c r="L380" s="73">
        <v>44662</v>
      </c>
      <c r="M380" s="30"/>
      <c r="N380" s="74" t="s">
        <v>264</v>
      </c>
      <c r="O380" s="30">
        <v>1</v>
      </c>
      <c r="P380" s="81"/>
      <c r="Q380" s="34" t="s">
        <v>27</v>
      </c>
      <c r="R380" s="75"/>
      <c r="S380" s="76"/>
      <c r="T380" s="77">
        <v>38.14</v>
      </c>
      <c r="U380" s="30">
        <f t="shared" si="25"/>
        <v>38.14</v>
      </c>
      <c r="V380" s="30">
        <f t="shared" si="23"/>
        <v>38.14</v>
      </c>
      <c r="W380" s="30">
        <f t="shared" si="24"/>
        <v>6.8651999999999997</v>
      </c>
      <c r="X380" s="79">
        <f t="shared" si="22"/>
        <v>45.005200000000002</v>
      </c>
      <c r="Y380" s="44"/>
    </row>
    <row r="381" spans="1:25" ht="31.2">
      <c r="A381" s="73">
        <v>44662</v>
      </c>
      <c r="B381" s="30" t="s">
        <v>444</v>
      </c>
      <c r="C381" s="69" t="s">
        <v>21</v>
      </c>
      <c r="D381" s="70" t="s">
        <v>22</v>
      </c>
      <c r="E381" s="30">
        <v>2</v>
      </c>
      <c r="F381" s="30" t="s">
        <v>24</v>
      </c>
      <c r="G381" s="30">
        <v>0.5</v>
      </c>
      <c r="H381" s="30" t="s">
        <v>28</v>
      </c>
      <c r="I381" s="45" t="s">
        <v>82</v>
      </c>
      <c r="J381" s="71"/>
      <c r="K381" s="80"/>
      <c r="L381" s="73">
        <v>44662</v>
      </c>
      <c r="M381" s="30"/>
      <c r="N381" s="74" t="s">
        <v>264</v>
      </c>
      <c r="O381" s="30">
        <v>1</v>
      </c>
      <c r="P381" s="81"/>
      <c r="Q381" s="34" t="s">
        <v>27</v>
      </c>
      <c r="R381" s="75"/>
      <c r="S381" s="76"/>
      <c r="T381" s="77">
        <v>6.78</v>
      </c>
      <c r="U381" s="30">
        <f t="shared" si="25"/>
        <v>13.56</v>
      </c>
      <c r="V381" s="30">
        <f t="shared" si="23"/>
        <v>13.56</v>
      </c>
      <c r="W381" s="30">
        <f t="shared" si="24"/>
        <v>2.4407999999999999</v>
      </c>
      <c r="X381" s="79">
        <f t="shared" si="22"/>
        <v>16.000800000000002</v>
      </c>
      <c r="Y381" s="44"/>
    </row>
    <row r="382" spans="1:25" ht="15.6">
      <c r="A382" s="73">
        <v>44662</v>
      </c>
      <c r="B382" s="30" t="s">
        <v>328</v>
      </c>
      <c r="C382" s="69" t="s">
        <v>21</v>
      </c>
      <c r="D382" s="70" t="s">
        <v>22</v>
      </c>
      <c r="E382" s="30">
        <v>1</v>
      </c>
      <c r="F382" s="30" t="s">
        <v>24</v>
      </c>
      <c r="G382" s="30">
        <v>4</v>
      </c>
      <c r="H382" s="30" t="s">
        <v>28</v>
      </c>
      <c r="I382" s="45" t="s">
        <v>114</v>
      </c>
      <c r="J382" s="71"/>
      <c r="K382" s="80"/>
      <c r="L382" s="73">
        <v>44662</v>
      </c>
      <c r="M382" s="30"/>
      <c r="N382" s="74">
        <v>89</v>
      </c>
      <c r="O382" s="30">
        <v>1</v>
      </c>
      <c r="P382" s="81"/>
      <c r="Q382" s="34" t="s">
        <v>27</v>
      </c>
      <c r="R382" s="75"/>
      <c r="S382" s="76"/>
      <c r="T382" s="77">
        <v>27.97</v>
      </c>
      <c r="U382" s="30">
        <f t="shared" si="25"/>
        <v>27.97</v>
      </c>
      <c r="V382" s="30">
        <f t="shared" si="23"/>
        <v>27.97</v>
      </c>
      <c r="W382" s="30">
        <f t="shared" si="24"/>
        <v>5.0345999999999993</v>
      </c>
      <c r="X382" s="79">
        <f t="shared" si="22"/>
        <v>33.004599999999996</v>
      </c>
      <c r="Y382" s="44"/>
    </row>
    <row r="383" spans="1:25" ht="46.8">
      <c r="A383" s="73">
        <v>44662</v>
      </c>
      <c r="B383" s="30" t="s">
        <v>328</v>
      </c>
      <c r="C383" s="69" t="s">
        <v>21</v>
      </c>
      <c r="D383" s="70" t="s">
        <v>22</v>
      </c>
      <c r="E383" s="30">
        <v>1</v>
      </c>
      <c r="F383" s="30" t="s">
        <v>24</v>
      </c>
      <c r="G383" s="30">
        <v>4</v>
      </c>
      <c r="H383" s="30" t="s">
        <v>28</v>
      </c>
      <c r="I383" s="45" t="s">
        <v>261</v>
      </c>
      <c r="J383" s="71"/>
      <c r="K383" s="80"/>
      <c r="L383" s="73">
        <v>44662</v>
      </c>
      <c r="M383" s="30"/>
      <c r="N383" s="74">
        <v>89</v>
      </c>
      <c r="O383" s="30">
        <v>1</v>
      </c>
      <c r="P383" s="81"/>
      <c r="Q383" s="34" t="s">
        <v>27</v>
      </c>
      <c r="R383" s="75"/>
      <c r="S383" s="76"/>
      <c r="T383" s="77">
        <v>16.53</v>
      </c>
      <c r="U383" s="30">
        <f t="shared" si="25"/>
        <v>16.53</v>
      </c>
      <c r="V383" s="30">
        <f t="shared" si="23"/>
        <v>16.53</v>
      </c>
      <c r="W383" s="30">
        <f t="shared" si="24"/>
        <v>2.9754</v>
      </c>
      <c r="X383" s="79">
        <f t="shared" si="22"/>
        <v>19.505400000000002</v>
      </c>
      <c r="Y383" s="44"/>
    </row>
    <row r="384" spans="1:25" ht="31.2">
      <c r="A384" s="73">
        <v>44662</v>
      </c>
      <c r="B384" s="30" t="s">
        <v>445</v>
      </c>
      <c r="C384" s="69" t="s">
        <v>21</v>
      </c>
      <c r="D384" s="70" t="s">
        <v>22</v>
      </c>
      <c r="E384" s="30">
        <v>1</v>
      </c>
      <c r="F384" s="30" t="s">
        <v>24</v>
      </c>
      <c r="G384" s="30">
        <v>4</v>
      </c>
      <c r="H384" s="30" t="s">
        <v>28</v>
      </c>
      <c r="I384" s="45" t="s">
        <v>49</v>
      </c>
      <c r="J384" s="71"/>
      <c r="K384" s="80"/>
      <c r="L384" s="73">
        <v>44662</v>
      </c>
      <c r="M384" s="30"/>
      <c r="N384" s="74">
        <v>90</v>
      </c>
      <c r="O384" s="30">
        <v>1</v>
      </c>
      <c r="P384" s="81"/>
      <c r="Q384" s="34" t="s">
        <v>27</v>
      </c>
      <c r="R384" s="75"/>
      <c r="S384" s="76"/>
      <c r="T384" s="77">
        <v>72.034000000000006</v>
      </c>
      <c r="U384" s="30">
        <f t="shared" si="25"/>
        <v>72.034000000000006</v>
      </c>
      <c r="V384" s="30">
        <f t="shared" si="23"/>
        <v>72.034000000000006</v>
      </c>
      <c r="W384" s="30">
        <f t="shared" si="24"/>
        <v>12.96612</v>
      </c>
      <c r="X384" s="79">
        <f t="shared" si="22"/>
        <v>85.00012000000001</v>
      </c>
      <c r="Y384" s="44"/>
    </row>
    <row r="385" spans="1:25" ht="31.2">
      <c r="A385" s="73">
        <v>44662</v>
      </c>
      <c r="B385" s="30" t="s">
        <v>446</v>
      </c>
      <c r="C385" s="69" t="s">
        <v>21</v>
      </c>
      <c r="D385" s="70" t="s">
        <v>22</v>
      </c>
      <c r="E385" s="30">
        <v>1</v>
      </c>
      <c r="F385" s="30" t="s">
        <v>24</v>
      </c>
      <c r="G385" s="30">
        <v>4</v>
      </c>
      <c r="H385" s="30" t="s">
        <v>28</v>
      </c>
      <c r="I385" s="45" t="s">
        <v>49</v>
      </c>
      <c r="J385" s="71"/>
      <c r="K385" s="80"/>
      <c r="L385" s="73">
        <v>44662</v>
      </c>
      <c r="M385" s="30"/>
      <c r="N385" s="74">
        <v>91</v>
      </c>
      <c r="O385" s="30">
        <v>1</v>
      </c>
      <c r="P385" s="81"/>
      <c r="Q385" s="34" t="s">
        <v>27</v>
      </c>
      <c r="R385" s="75"/>
      <c r="S385" s="76"/>
      <c r="T385" s="77">
        <v>72.034000000000006</v>
      </c>
      <c r="U385" s="30">
        <f t="shared" si="25"/>
        <v>72.034000000000006</v>
      </c>
      <c r="V385" s="30">
        <f t="shared" si="23"/>
        <v>72.034000000000006</v>
      </c>
      <c r="W385" s="30">
        <f t="shared" si="24"/>
        <v>12.96612</v>
      </c>
      <c r="X385" s="79">
        <f t="shared" si="22"/>
        <v>85.00012000000001</v>
      </c>
      <c r="Y385" s="44"/>
    </row>
    <row r="386" spans="1:25" ht="31.2">
      <c r="A386" s="73">
        <v>44662</v>
      </c>
      <c r="B386" s="30" t="s">
        <v>446</v>
      </c>
      <c r="C386" s="69" t="s">
        <v>21</v>
      </c>
      <c r="D386" s="70" t="s">
        <v>22</v>
      </c>
      <c r="E386" s="30">
        <v>1</v>
      </c>
      <c r="F386" s="30" t="s">
        <v>24</v>
      </c>
      <c r="G386" s="30">
        <v>20</v>
      </c>
      <c r="H386" s="30" t="s">
        <v>28</v>
      </c>
      <c r="I386" s="45" t="s">
        <v>52</v>
      </c>
      <c r="J386" s="71"/>
      <c r="K386" s="80"/>
      <c r="L386" s="73">
        <v>44662</v>
      </c>
      <c r="M386" s="30"/>
      <c r="N386" s="74">
        <v>91</v>
      </c>
      <c r="O386" s="30">
        <v>1</v>
      </c>
      <c r="P386" s="81"/>
      <c r="Q386" s="34" t="s">
        <v>27</v>
      </c>
      <c r="R386" s="75"/>
      <c r="S386" s="76"/>
      <c r="T386" s="77">
        <v>76.27</v>
      </c>
      <c r="U386" s="30">
        <f t="shared" si="25"/>
        <v>76.27</v>
      </c>
      <c r="V386" s="30">
        <f t="shared" si="23"/>
        <v>76.27</v>
      </c>
      <c r="W386" s="30">
        <f t="shared" si="24"/>
        <v>13.728599999999998</v>
      </c>
      <c r="X386" s="79">
        <f t="shared" si="22"/>
        <v>89.998599999999996</v>
      </c>
      <c r="Y386" s="44"/>
    </row>
    <row r="387" spans="1:25" ht="46.8">
      <c r="A387" s="73">
        <v>44662</v>
      </c>
      <c r="B387" s="30" t="s">
        <v>446</v>
      </c>
      <c r="C387" s="69" t="s">
        <v>21</v>
      </c>
      <c r="D387" s="70" t="s">
        <v>22</v>
      </c>
      <c r="E387" s="30">
        <v>1</v>
      </c>
      <c r="F387" s="30" t="s">
        <v>24</v>
      </c>
      <c r="G387" s="30">
        <v>20</v>
      </c>
      <c r="H387" s="30" t="s">
        <v>28</v>
      </c>
      <c r="I387" s="45" t="s">
        <v>170</v>
      </c>
      <c r="J387" s="71"/>
      <c r="K387" s="80"/>
      <c r="L387" s="73">
        <v>44662</v>
      </c>
      <c r="M387" s="30"/>
      <c r="N387" s="74">
        <v>91</v>
      </c>
      <c r="O387" s="30">
        <v>1</v>
      </c>
      <c r="P387" s="81"/>
      <c r="Q387" s="34" t="s">
        <v>27</v>
      </c>
      <c r="R387" s="75"/>
      <c r="S387" s="76"/>
      <c r="T387" s="77">
        <v>74.150000000000006</v>
      </c>
      <c r="U387" s="30">
        <f t="shared" si="25"/>
        <v>74.150000000000006</v>
      </c>
      <c r="V387" s="30">
        <f t="shared" si="23"/>
        <v>74.150000000000006</v>
      </c>
      <c r="W387" s="30">
        <f t="shared" si="24"/>
        <v>13.347000000000001</v>
      </c>
      <c r="X387" s="79">
        <f t="shared" si="22"/>
        <v>87.497000000000014</v>
      </c>
      <c r="Y387" s="44"/>
    </row>
    <row r="388" spans="1:25" ht="31.2">
      <c r="A388" s="73">
        <v>44663</v>
      </c>
      <c r="B388" s="30" t="s">
        <v>447</v>
      </c>
      <c r="C388" s="69" t="s">
        <v>21</v>
      </c>
      <c r="D388" s="70" t="s">
        <v>22</v>
      </c>
      <c r="E388" s="30">
        <v>1</v>
      </c>
      <c r="F388" s="30" t="s">
        <v>24</v>
      </c>
      <c r="G388" s="30">
        <v>4</v>
      </c>
      <c r="H388" s="30" t="s">
        <v>28</v>
      </c>
      <c r="I388" s="45" t="s">
        <v>51</v>
      </c>
      <c r="J388" s="71"/>
      <c r="K388" s="80"/>
      <c r="L388" s="73">
        <v>44663</v>
      </c>
      <c r="M388" s="30"/>
      <c r="N388" s="74" t="s">
        <v>265</v>
      </c>
      <c r="O388" s="30">
        <v>1</v>
      </c>
      <c r="P388" s="81"/>
      <c r="Q388" s="34" t="s">
        <v>27</v>
      </c>
      <c r="R388" s="75"/>
      <c r="S388" s="76"/>
      <c r="T388" s="77">
        <v>16.95</v>
      </c>
      <c r="U388" s="30">
        <f t="shared" si="25"/>
        <v>16.95</v>
      </c>
      <c r="V388" s="30">
        <f t="shared" si="23"/>
        <v>16.95</v>
      </c>
      <c r="W388" s="30">
        <f t="shared" si="24"/>
        <v>3.0509999999999997</v>
      </c>
      <c r="X388" s="79">
        <f t="shared" si="22"/>
        <v>20.000999999999998</v>
      </c>
      <c r="Y388" s="44"/>
    </row>
    <row r="389" spans="1:25" ht="46.8">
      <c r="A389" s="73">
        <v>44663</v>
      </c>
      <c r="B389" s="30" t="s">
        <v>447</v>
      </c>
      <c r="C389" s="69" t="s">
        <v>21</v>
      </c>
      <c r="D389" s="70" t="s">
        <v>22</v>
      </c>
      <c r="E389" s="30">
        <v>1</v>
      </c>
      <c r="F389" s="30" t="s">
        <v>24</v>
      </c>
      <c r="G389" s="30">
        <v>4</v>
      </c>
      <c r="H389" s="30" t="s">
        <v>28</v>
      </c>
      <c r="I389" s="45" t="s">
        <v>170</v>
      </c>
      <c r="J389" s="71"/>
      <c r="K389" s="80"/>
      <c r="L389" s="73">
        <v>44663</v>
      </c>
      <c r="M389" s="30"/>
      <c r="N389" s="74" t="s">
        <v>265</v>
      </c>
      <c r="O389" s="30">
        <v>1</v>
      </c>
      <c r="P389" s="81"/>
      <c r="Q389" s="34" t="s">
        <v>27</v>
      </c>
      <c r="R389" s="75"/>
      <c r="S389" s="76"/>
      <c r="T389" s="77">
        <v>16.53</v>
      </c>
      <c r="U389" s="30">
        <f t="shared" si="25"/>
        <v>16.53</v>
      </c>
      <c r="V389" s="30">
        <f t="shared" si="23"/>
        <v>16.53</v>
      </c>
      <c r="W389" s="30">
        <f t="shared" si="24"/>
        <v>2.9754</v>
      </c>
      <c r="X389" s="79">
        <f t="shared" si="22"/>
        <v>19.505400000000002</v>
      </c>
      <c r="Y389" s="44"/>
    </row>
    <row r="390" spans="1:25" ht="31.2">
      <c r="A390" s="73">
        <v>44663</v>
      </c>
      <c r="B390" s="30" t="s">
        <v>448</v>
      </c>
      <c r="C390" s="69" t="s">
        <v>21</v>
      </c>
      <c r="D390" s="70" t="s">
        <v>22</v>
      </c>
      <c r="E390" s="30">
        <v>1</v>
      </c>
      <c r="F390" s="30" t="s">
        <v>24</v>
      </c>
      <c r="G390" s="30">
        <v>0.5</v>
      </c>
      <c r="H390" s="30" t="s">
        <v>28</v>
      </c>
      <c r="I390" s="45" t="s">
        <v>40</v>
      </c>
      <c r="J390" s="71"/>
      <c r="K390" s="80"/>
      <c r="L390" s="73">
        <v>44663</v>
      </c>
      <c r="M390" s="30"/>
      <c r="N390" s="74" t="s">
        <v>266</v>
      </c>
      <c r="O390" s="30">
        <v>1</v>
      </c>
      <c r="P390" s="81"/>
      <c r="Q390" s="34" t="s">
        <v>27</v>
      </c>
      <c r="R390" s="75"/>
      <c r="S390" s="76"/>
      <c r="T390" s="77">
        <v>6.78</v>
      </c>
      <c r="U390" s="30">
        <f t="shared" si="25"/>
        <v>6.78</v>
      </c>
      <c r="V390" s="30">
        <f t="shared" si="23"/>
        <v>6.78</v>
      </c>
      <c r="W390" s="30">
        <f t="shared" si="24"/>
        <v>1.2203999999999999</v>
      </c>
      <c r="X390" s="79">
        <f t="shared" ref="X390:X405" si="26">+W390+V390</f>
        <v>8.0004000000000008</v>
      </c>
      <c r="Y390" s="44"/>
    </row>
    <row r="391" spans="1:25" ht="46.8">
      <c r="A391" s="73">
        <v>44663</v>
      </c>
      <c r="B391" s="30" t="s">
        <v>449</v>
      </c>
      <c r="C391" s="69" t="s">
        <v>21</v>
      </c>
      <c r="D391" s="70" t="s">
        <v>22</v>
      </c>
      <c r="E391" s="30">
        <v>1</v>
      </c>
      <c r="F391" s="30" t="s">
        <v>24</v>
      </c>
      <c r="G391" s="30">
        <v>4</v>
      </c>
      <c r="H391" s="30" t="s">
        <v>28</v>
      </c>
      <c r="I391" s="45" t="s">
        <v>80</v>
      </c>
      <c r="J391" s="71"/>
      <c r="K391" s="80"/>
      <c r="L391" s="73">
        <v>44663</v>
      </c>
      <c r="M391" s="30"/>
      <c r="N391" s="74" t="s">
        <v>267</v>
      </c>
      <c r="O391" s="30">
        <v>1</v>
      </c>
      <c r="P391" s="81"/>
      <c r="Q391" s="34" t="s">
        <v>27</v>
      </c>
      <c r="R391" s="75"/>
      <c r="S391" s="76"/>
      <c r="T391" s="77">
        <v>42.37</v>
      </c>
      <c r="U391" s="30">
        <f t="shared" si="25"/>
        <v>42.37</v>
      </c>
      <c r="V391" s="30">
        <f t="shared" si="23"/>
        <v>42.37</v>
      </c>
      <c r="W391" s="30">
        <f t="shared" si="24"/>
        <v>7.6265999999999989</v>
      </c>
      <c r="X391" s="79">
        <f t="shared" si="26"/>
        <v>49.996599999999994</v>
      </c>
      <c r="Y391" s="44"/>
    </row>
    <row r="392" spans="1:25" ht="31.2">
      <c r="A392" s="73">
        <v>44663</v>
      </c>
      <c r="B392" s="30" t="s">
        <v>450</v>
      </c>
      <c r="C392" s="69" t="s">
        <v>21</v>
      </c>
      <c r="D392" s="70" t="s">
        <v>22</v>
      </c>
      <c r="E392" s="30">
        <v>1</v>
      </c>
      <c r="F392" s="30" t="s">
        <v>24</v>
      </c>
      <c r="G392" s="30">
        <v>0.5</v>
      </c>
      <c r="H392" s="30" t="s">
        <v>28</v>
      </c>
      <c r="I392" s="45" t="s">
        <v>51</v>
      </c>
      <c r="J392" s="71"/>
      <c r="K392" s="80"/>
      <c r="L392" s="73">
        <v>44663</v>
      </c>
      <c r="M392" s="30"/>
      <c r="N392" s="74" t="s">
        <v>268</v>
      </c>
      <c r="O392" s="30">
        <v>1</v>
      </c>
      <c r="P392" s="81"/>
      <c r="Q392" s="34" t="s">
        <v>27</v>
      </c>
      <c r="R392" s="75"/>
      <c r="S392" s="76"/>
      <c r="T392" s="77">
        <v>6.78</v>
      </c>
      <c r="U392" s="30">
        <f t="shared" si="25"/>
        <v>6.78</v>
      </c>
      <c r="V392" s="30">
        <f t="shared" si="23"/>
        <v>6.78</v>
      </c>
      <c r="W392" s="30">
        <f t="shared" si="24"/>
        <v>1.2203999999999999</v>
      </c>
      <c r="X392" s="79">
        <f t="shared" si="26"/>
        <v>8.0004000000000008</v>
      </c>
      <c r="Y392" s="44"/>
    </row>
    <row r="393" spans="1:25" ht="31.2">
      <c r="A393" s="73">
        <v>44669</v>
      </c>
      <c r="B393" s="30" t="s">
        <v>451</v>
      </c>
      <c r="C393" s="69" t="s">
        <v>21</v>
      </c>
      <c r="D393" s="70" t="s">
        <v>22</v>
      </c>
      <c r="E393" s="30">
        <v>1</v>
      </c>
      <c r="F393" s="30" t="s">
        <v>24</v>
      </c>
      <c r="G393" s="30">
        <v>4</v>
      </c>
      <c r="H393" s="30" t="s">
        <v>28</v>
      </c>
      <c r="I393" s="45" t="s">
        <v>52</v>
      </c>
      <c r="J393" s="71"/>
      <c r="K393" s="80"/>
      <c r="L393" s="73">
        <v>44669</v>
      </c>
      <c r="M393" s="30"/>
      <c r="N393" s="74" t="s">
        <v>269</v>
      </c>
      <c r="O393" s="30">
        <v>1</v>
      </c>
      <c r="P393" s="81"/>
      <c r="Q393" s="34" t="s">
        <v>27</v>
      </c>
      <c r="R393" s="75"/>
      <c r="S393" s="76"/>
      <c r="T393" s="77">
        <v>16.95</v>
      </c>
      <c r="U393" s="30">
        <f t="shared" si="25"/>
        <v>16.95</v>
      </c>
      <c r="V393" s="30">
        <f t="shared" si="23"/>
        <v>16.95</v>
      </c>
      <c r="W393" s="30">
        <f t="shared" si="24"/>
        <v>3.0509999999999997</v>
      </c>
      <c r="X393" s="79">
        <f t="shared" si="26"/>
        <v>20.000999999999998</v>
      </c>
      <c r="Y393" s="44"/>
    </row>
    <row r="394" spans="1:25" ht="31.2">
      <c r="A394" s="73">
        <v>44669</v>
      </c>
      <c r="B394" s="30" t="s">
        <v>451</v>
      </c>
      <c r="C394" s="69" t="s">
        <v>21</v>
      </c>
      <c r="D394" s="70" t="s">
        <v>22</v>
      </c>
      <c r="E394" s="30">
        <v>1</v>
      </c>
      <c r="F394" s="30" t="s">
        <v>24</v>
      </c>
      <c r="G394" s="30">
        <v>0.5</v>
      </c>
      <c r="H394" s="30" t="s">
        <v>28</v>
      </c>
      <c r="I394" s="45" t="s">
        <v>57</v>
      </c>
      <c r="J394" s="71"/>
      <c r="K394" s="80"/>
      <c r="L394" s="73">
        <v>44669</v>
      </c>
      <c r="M394" s="30"/>
      <c r="N394" s="74" t="s">
        <v>269</v>
      </c>
      <c r="O394" s="30">
        <v>1</v>
      </c>
      <c r="P394" s="81"/>
      <c r="Q394" s="34" t="s">
        <v>27</v>
      </c>
      <c r="R394" s="75"/>
      <c r="S394" s="76"/>
      <c r="T394" s="77">
        <v>4.24</v>
      </c>
      <c r="U394" s="30">
        <f t="shared" si="25"/>
        <v>4.24</v>
      </c>
      <c r="V394" s="30">
        <f t="shared" si="23"/>
        <v>4.24</v>
      </c>
      <c r="W394" s="30">
        <f t="shared" si="24"/>
        <v>0.76319999999999999</v>
      </c>
      <c r="X394" s="79">
        <f t="shared" si="26"/>
        <v>5.0032000000000005</v>
      </c>
      <c r="Y394" s="44"/>
    </row>
    <row r="395" spans="1:25" ht="31.2">
      <c r="A395" s="73">
        <v>44670</v>
      </c>
      <c r="B395" s="30" t="s">
        <v>293</v>
      </c>
      <c r="C395" s="69" t="s">
        <v>21</v>
      </c>
      <c r="D395" s="70" t="s">
        <v>22</v>
      </c>
      <c r="E395" s="30">
        <v>1</v>
      </c>
      <c r="F395" s="30" t="s">
        <v>24</v>
      </c>
      <c r="G395" s="30">
        <v>4</v>
      </c>
      <c r="H395" s="30" t="s">
        <v>28</v>
      </c>
      <c r="I395" s="45" t="s">
        <v>82</v>
      </c>
      <c r="J395" s="71"/>
      <c r="K395" s="80"/>
      <c r="L395" s="73">
        <v>44670</v>
      </c>
      <c r="M395" s="30"/>
      <c r="N395" s="74">
        <v>92</v>
      </c>
      <c r="O395" s="30">
        <v>1</v>
      </c>
      <c r="P395" s="81"/>
      <c r="Q395" s="34" t="s">
        <v>27</v>
      </c>
      <c r="R395" s="75"/>
      <c r="S395" s="76"/>
      <c r="T395" s="77">
        <v>38.14</v>
      </c>
      <c r="U395" s="30">
        <f t="shared" si="25"/>
        <v>38.14</v>
      </c>
      <c r="V395" s="30">
        <f t="shared" ref="V395:V405" si="27">+U395</f>
        <v>38.14</v>
      </c>
      <c r="W395" s="30">
        <f t="shared" ref="W395:W405" si="28">+V395*0.18</f>
        <v>6.8651999999999997</v>
      </c>
      <c r="X395" s="79">
        <f t="shared" si="26"/>
        <v>45.005200000000002</v>
      </c>
      <c r="Y395" s="44"/>
    </row>
    <row r="396" spans="1:25" ht="15.6">
      <c r="A396" s="73">
        <v>44670</v>
      </c>
      <c r="B396" s="30" t="s">
        <v>452</v>
      </c>
      <c r="C396" s="69" t="s">
        <v>21</v>
      </c>
      <c r="D396" s="70" t="s">
        <v>22</v>
      </c>
      <c r="E396" s="30">
        <v>1</v>
      </c>
      <c r="F396" s="30" t="s">
        <v>24</v>
      </c>
      <c r="G396" s="30">
        <v>4</v>
      </c>
      <c r="H396" s="30" t="s">
        <v>28</v>
      </c>
      <c r="I396" s="45" t="s">
        <v>35</v>
      </c>
      <c r="J396" s="71"/>
      <c r="K396" s="80"/>
      <c r="L396" s="73">
        <v>44670</v>
      </c>
      <c r="M396" s="30"/>
      <c r="N396" s="74">
        <v>93</v>
      </c>
      <c r="O396" s="30">
        <v>1</v>
      </c>
      <c r="P396" s="81"/>
      <c r="Q396" s="34" t="s">
        <v>27</v>
      </c>
      <c r="R396" s="75"/>
      <c r="S396" s="76"/>
      <c r="T396" s="77">
        <v>23.73</v>
      </c>
      <c r="U396" s="30">
        <f t="shared" si="25"/>
        <v>23.73</v>
      </c>
      <c r="V396" s="30">
        <f t="shared" si="27"/>
        <v>23.73</v>
      </c>
      <c r="W396" s="30">
        <f t="shared" si="28"/>
        <v>4.2713999999999999</v>
      </c>
      <c r="X396" s="79">
        <f t="shared" si="26"/>
        <v>28.0014</v>
      </c>
      <c r="Y396" s="44"/>
    </row>
    <row r="397" spans="1:25" ht="31.2">
      <c r="A397" s="73">
        <v>44670</v>
      </c>
      <c r="B397" s="30" t="s">
        <v>453</v>
      </c>
      <c r="C397" s="69" t="s">
        <v>21</v>
      </c>
      <c r="D397" s="70" t="s">
        <v>22</v>
      </c>
      <c r="E397" s="30">
        <v>2</v>
      </c>
      <c r="F397" s="30" t="s">
        <v>24</v>
      </c>
      <c r="G397" s="30">
        <v>1</v>
      </c>
      <c r="H397" s="30" t="s">
        <v>28</v>
      </c>
      <c r="I397" s="45" t="s">
        <v>49</v>
      </c>
      <c r="J397" s="71"/>
      <c r="K397" s="80"/>
      <c r="L397" s="73">
        <v>44670</v>
      </c>
      <c r="M397" s="30"/>
      <c r="N397" s="74" t="s">
        <v>270</v>
      </c>
      <c r="O397" s="30">
        <v>1</v>
      </c>
      <c r="P397" s="81"/>
      <c r="Q397" s="34" t="s">
        <v>27</v>
      </c>
      <c r="R397" s="75"/>
      <c r="S397" s="76"/>
      <c r="T397" s="77">
        <v>21.19</v>
      </c>
      <c r="U397" s="30">
        <f t="shared" si="25"/>
        <v>42.38</v>
      </c>
      <c r="V397" s="30">
        <f t="shared" si="27"/>
        <v>42.38</v>
      </c>
      <c r="W397" s="30">
        <f t="shared" si="28"/>
        <v>7.6284000000000001</v>
      </c>
      <c r="X397" s="79">
        <f t="shared" si="26"/>
        <v>50.008400000000002</v>
      </c>
      <c r="Y397" s="44"/>
    </row>
    <row r="398" spans="1:25" ht="62.4">
      <c r="A398" s="73">
        <v>44670</v>
      </c>
      <c r="B398" s="30" t="s">
        <v>454</v>
      </c>
      <c r="C398" s="69" t="s">
        <v>21</v>
      </c>
      <c r="D398" s="70" t="s">
        <v>22</v>
      </c>
      <c r="E398" s="30">
        <v>1</v>
      </c>
      <c r="F398" s="30" t="s">
        <v>24</v>
      </c>
      <c r="G398" s="30">
        <v>4</v>
      </c>
      <c r="H398" s="30" t="s">
        <v>28</v>
      </c>
      <c r="I398" s="45" t="s">
        <v>255</v>
      </c>
      <c r="J398" s="71"/>
      <c r="K398" s="80"/>
      <c r="L398" s="73">
        <v>44670</v>
      </c>
      <c r="M398" s="30"/>
      <c r="N398" s="74" t="s">
        <v>271</v>
      </c>
      <c r="O398" s="30">
        <v>1</v>
      </c>
      <c r="P398" s="81"/>
      <c r="Q398" s="34" t="s">
        <v>27</v>
      </c>
      <c r="R398" s="75"/>
      <c r="S398" s="76"/>
      <c r="T398" s="77">
        <v>15.25</v>
      </c>
      <c r="U398" s="30">
        <f t="shared" si="25"/>
        <v>15.25</v>
      </c>
      <c r="V398" s="30">
        <f t="shared" si="27"/>
        <v>15.25</v>
      </c>
      <c r="W398" s="30">
        <f t="shared" si="28"/>
        <v>2.7450000000000001</v>
      </c>
      <c r="X398" s="79">
        <f t="shared" si="26"/>
        <v>17.995000000000001</v>
      </c>
      <c r="Y398" s="44"/>
    </row>
    <row r="399" spans="1:25" ht="46.8">
      <c r="A399" s="73">
        <v>44670</v>
      </c>
      <c r="B399" s="30" t="s">
        <v>454</v>
      </c>
      <c r="C399" s="69" t="s">
        <v>21</v>
      </c>
      <c r="D399" s="70" t="s">
        <v>22</v>
      </c>
      <c r="E399" s="30">
        <v>2</v>
      </c>
      <c r="F399" s="30" t="s">
        <v>24</v>
      </c>
      <c r="G399" s="30">
        <v>4</v>
      </c>
      <c r="H399" s="30" t="s">
        <v>28</v>
      </c>
      <c r="I399" s="45" t="s">
        <v>183</v>
      </c>
      <c r="J399" s="71"/>
      <c r="K399" s="80"/>
      <c r="L399" s="73">
        <v>44670</v>
      </c>
      <c r="M399" s="30"/>
      <c r="N399" s="74" t="s">
        <v>271</v>
      </c>
      <c r="O399" s="30">
        <v>1</v>
      </c>
      <c r="P399" s="81"/>
      <c r="Q399" s="34" t="s">
        <v>27</v>
      </c>
      <c r="R399" s="75"/>
      <c r="S399" s="76"/>
      <c r="T399" s="77">
        <v>16.53</v>
      </c>
      <c r="U399" s="30">
        <f t="shared" si="25"/>
        <v>33.06</v>
      </c>
      <c r="V399" s="30">
        <f t="shared" si="27"/>
        <v>33.06</v>
      </c>
      <c r="W399" s="30">
        <f t="shared" si="28"/>
        <v>5.9508000000000001</v>
      </c>
      <c r="X399" s="79">
        <f t="shared" si="26"/>
        <v>39.010800000000003</v>
      </c>
      <c r="Y399" s="44"/>
    </row>
    <row r="400" spans="1:25" ht="31.2">
      <c r="A400" s="73">
        <v>44670</v>
      </c>
      <c r="B400" s="30" t="s">
        <v>455</v>
      </c>
      <c r="C400" s="69" t="s">
        <v>21</v>
      </c>
      <c r="D400" s="70" t="s">
        <v>22</v>
      </c>
      <c r="E400" s="30">
        <v>1</v>
      </c>
      <c r="F400" s="30" t="s">
        <v>24</v>
      </c>
      <c r="G400" s="30">
        <v>4</v>
      </c>
      <c r="H400" s="30" t="s">
        <v>28</v>
      </c>
      <c r="I400" s="45" t="s">
        <v>82</v>
      </c>
      <c r="J400" s="71"/>
      <c r="K400" s="80"/>
      <c r="L400" s="73">
        <v>44670</v>
      </c>
      <c r="M400" s="30"/>
      <c r="N400" s="74" t="s">
        <v>272</v>
      </c>
      <c r="O400" s="30">
        <v>1</v>
      </c>
      <c r="P400" s="81"/>
      <c r="Q400" s="34" t="s">
        <v>27</v>
      </c>
      <c r="R400" s="75"/>
      <c r="S400" s="76"/>
      <c r="T400" s="77">
        <v>38.14</v>
      </c>
      <c r="U400" s="30">
        <f t="shared" si="25"/>
        <v>38.14</v>
      </c>
      <c r="V400" s="30">
        <f t="shared" si="27"/>
        <v>38.14</v>
      </c>
      <c r="W400" s="30">
        <f t="shared" si="28"/>
        <v>6.8651999999999997</v>
      </c>
      <c r="X400" s="79">
        <f t="shared" si="26"/>
        <v>45.005200000000002</v>
      </c>
      <c r="Y400" s="44"/>
    </row>
    <row r="401" spans="1:25" ht="31.2">
      <c r="A401" s="73">
        <v>44671</v>
      </c>
      <c r="B401" s="30" t="s">
        <v>456</v>
      </c>
      <c r="C401" s="69" t="s">
        <v>21</v>
      </c>
      <c r="D401" s="70" t="s">
        <v>22</v>
      </c>
      <c r="E401" s="30">
        <v>1</v>
      </c>
      <c r="F401" s="30" t="s">
        <v>24</v>
      </c>
      <c r="G401" s="30">
        <v>4</v>
      </c>
      <c r="H401" s="30" t="s">
        <v>28</v>
      </c>
      <c r="I401" s="45" t="s">
        <v>57</v>
      </c>
      <c r="J401" s="71"/>
      <c r="K401" s="80"/>
      <c r="L401" s="73">
        <v>44671</v>
      </c>
      <c r="M401" s="30"/>
      <c r="N401" s="74" t="s">
        <v>273</v>
      </c>
      <c r="O401" s="30">
        <v>1</v>
      </c>
      <c r="P401" s="81"/>
      <c r="Q401" s="34" t="s">
        <v>27</v>
      </c>
      <c r="R401" s="75"/>
      <c r="S401" s="76"/>
      <c r="T401" s="77">
        <v>16.95</v>
      </c>
      <c r="U401" s="30">
        <f t="shared" si="25"/>
        <v>16.95</v>
      </c>
      <c r="V401" s="30">
        <f t="shared" si="27"/>
        <v>16.95</v>
      </c>
      <c r="W401" s="30">
        <f t="shared" si="28"/>
        <v>3.0509999999999997</v>
      </c>
      <c r="X401" s="79">
        <f t="shared" si="26"/>
        <v>20.000999999999998</v>
      </c>
      <c r="Y401" s="44"/>
    </row>
    <row r="402" spans="1:25" ht="31.2">
      <c r="A402" s="73">
        <v>44671</v>
      </c>
      <c r="B402" s="30" t="s">
        <v>456</v>
      </c>
      <c r="C402" s="69" t="s">
        <v>21</v>
      </c>
      <c r="D402" s="70" t="s">
        <v>22</v>
      </c>
      <c r="E402" s="30">
        <v>1</v>
      </c>
      <c r="F402" s="30" t="s">
        <v>24</v>
      </c>
      <c r="G402" s="30">
        <v>4</v>
      </c>
      <c r="H402" s="30" t="s">
        <v>28</v>
      </c>
      <c r="I402" s="45" t="s">
        <v>201</v>
      </c>
      <c r="J402" s="71"/>
      <c r="K402" s="80"/>
      <c r="L402" s="73">
        <v>44671</v>
      </c>
      <c r="M402" s="30"/>
      <c r="N402" s="74" t="s">
        <v>273</v>
      </c>
      <c r="O402" s="30">
        <v>1</v>
      </c>
      <c r="P402" s="81"/>
      <c r="Q402" s="34" t="s">
        <v>27</v>
      </c>
      <c r="R402" s="75"/>
      <c r="S402" s="76"/>
      <c r="T402" s="77">
        <v>17.8</v>
      </c>
      <c r="U402" s="30">
        <f t="shared" si="25"/>
        <v>17.8</v>
      </c>
      <c r="V402" s="30">
        <f t="shared" si="27"/>
        <v>17.8</v>
      </c>
      <c r="W402" s="30">
        <f t="shared" si="28"/>
        <v>3.2040000000000002</v>
      </c>
      <c r="X402" s="79">
        <f t="shared" si="26"/>
        <v>21.004000000000001</v>
      </c>
      <c r="Y402" s="44"/>
    </row>
    <row r="403" spans="1:25" ht="31.2">
      <c r="A403" s="73">
        <v>44671</v>
      </c>
      <c r="B403" s="30" t="s">
        <v>456</v>
      </c>
      <c r="C403" s="69" t="s">
        <v>21</v>
      </c>
      <c r="D403" s="70" t="s">
        <v>22</v>
      </c>
      <c r="E403" s="30">
        <v>1</v>
      </c>
      <c r="F403" s="30" t="s">
        <v>24</v>
      </c>
      <c r="G403" s="30">
        <v>4</v>
      </c>
      <c r="H403" s="30" t="s">
        <v>28</v>
      </c>
      <c r="I403" s="45" t="s">
        <v>82</v>
      </c>
      <c r="J403" s="71"/>
      <c r="K403" s="80"/>
      <c r="L403" s="73">
        <v>44671</v>
      </c>
      <c r="M403" s="30"/>
      <c r="N403" s="74" t="s">
        <v>273</v>
      </c>
      <c r="O403" s="30">
        <v>1</v>
      </c>
      <c r="P403" s="81"/>
      <c r="Q403" s="34" t="s">
        <v>27</v>
      </c>
      <c r="R403" s="75"/>
      <c r="S403" s="76"/>
      <c r="T403" s="77">
        <v>38.14</v>
      </c>
      <c r="U403" s="30">
        <f t="shared" si="25"/>
        <v>38.14</v>
      </c>
      <c r="V403" s="30">
        <f t="shared" si="27"/>
        <v>38.14</v>
      </c>
      <c r="W403" s="30">
        <f t="shared" si="28"/>
        <v>6.8651999999999997</v>
      </c>
      <c r="X403" s="79">
        <f t="shared" si="26"/>
        <v>45.005200000000002</v>
      </c>
      <c r="Y403" s="44"/>
    </row>
    <row r="404" spans="1:25" ht="31.2">
      <c r="A404" s="73">
        <v>44671</v>
      </c>
      <c r="B404" s="30" t="s">
        <v>456</v>
      </c>
      <c r="C404" s="69" t="s">
        <v>21</v>
      </c>
      <c r="D404" s="70" t="s">
        <v>22</v>
      </c>
      <c r="E404" s="30">
        <v>1</v>
      </c>
      <c r="F404" s="30" t="s">
        <v>24</v>
      </c>
      <c r="G404" s="30">
        <v>1</v>
      </c>
      <c r="H404" s="30" t="s">
        <v>28</v>
      </c>
      <c r="I404" s="45" t="s">
        <v>117</v>
      </c>
      <c r="J404" s="71"/>
      <c r="K404" s="80"/>
      <c r="L404" s="73">
        <v>44671</v>
      </c>
      <c r="M404" s="30"/>
      <c r="N404" s="74" t="s">
        <v>274</v>
      </c>
      <c r="O404" s="30">
        <v>1</v>
      </c>
      <c r="P404" s="81"/>
      <c r="Q404" s="34" t="s">
        <v>27</v>
      </c>
      <c r="R404" s="75"/>
      <c r="S404" s="76"/>
      <c r="T404" s="77">
        <v>10.17</v>
      </c>
      <c r="U404" s="30">
        <f t="shared" si="25"/>
        <v>10.17</v>
      </c>
      <c r="V404" s="30">
        <f t="shared" si="27"/>
        <v>10.17</v>
      </c>
      <c r="W404" s="30">
        <f t="shared" si="28"/>
        <v>1.8306</v>
      </c>
      <c r="X404" s="79">
        <f t="shared" si="26"/>
        <v>12.0006</v>
      </c>
      <c r="Y404" s="44"/>
    </row>
    <row r="405" spans="1:25" ht="46.8">
      <c r="A405" s="73">
        <v>44671</v>
      </c>
      <c r="B405" s="30" t="s">
        <v>456</v>
      </c>
      <c r="C405" s="69" t="s">
        <v>21</v>
      </c>
      <c r="D405" s="70" t="s">
        <v>22</v>
      </c>
      <c r="E405" s="30">
        <v>1</v>
      </c>
      <c r="F405" s="30" t="s">
        <v>24</v>
      </c>
      <c r="G405" s="30">
        <v>4</v>
      </c>
      <c r="H405" s="30" t="s">
        <v>28</v>
      </c>
      <c r="I405" s="45" t="s">
        <v>142</v>
      </c>
      <c r="J405" s="71"/>
      <c r="K405" s="80"/>
      <c r="L405" s="73">
        <v>44671</v>
      </c>
      <c r="M405" s="30"/>
      <c r="N405" s="74" t="s">
        <v>274</v>
      </c>
      <c r="O405" s="30">
        <v>1</v>
      </c>
      <c r="P405" s="81"/>
      <c r="Q405" s="34" t="s">
        <v>27</v>
      </c>
      <c r="R405" s="75"/>
      <c r="S405" s="76"/>
      <c r="T405" s="77">
        <v>21.19</v>
      </c>
      <c r="U405" s="30">
        <f t="shared" si="25"/>
        <v>21.19</v>
      </c>
      <c r="V405" s="30">
        <f t="shared" si="27"/>
        <v>21.19</v>
      </c>
      <c r="W405" s="30">
        <f t="shared" si="28"/>
        <v>3.8142</v>
      </c>
      <c r="X405" s="79">
        <f t="shared" si="26"/>
        <v>25.004200000000001</v>
      </c>
      <c r="Y405" s="44"/>
    </row>
  </sheetData>
  <mergeCells count="2">
    <mergeCell ref="E1:F1"/>
    <mergeCell ref="G1:H1"/>
  </mergeCells>
  <conditionalFormatting sqref="C221:C223 C159:C162 C179:C186 C195:C215 C229:C233 C360:C362 C367 C243:C356 C370:C401 C404:C405">
    <cfRule type="containsText" dxfId="295" priority="296" operator="containsText" text="OC">
      <formula>NOT(ISERROR(SEARCH("OC",C159)))</formula>
    </cfRule>
  </conditionalFormatting>
  <conditionalFormatting sqref="C221:C223 C123:C139 C142:C149 C153:C162 C179:C186 C195:C215 C229:C233 C360:C362 C367 C243:C356 C370:C401 C404:C405">
    <cfRule type="containsText" dxfId="294" priority="295" operator="containsText" text="OS">
      <formula>NOT(ISERROR(SEARCH("OS",C123)))</formula>
    </cfRule>
  </conditionalFormatting>
  <conditionalFormatting sqref="C87 C31 C33:C36 C51:C54 C75 C77:C80 C49 C60:C61 C64:C65 C69:C71 C84 C90 C93:C95 C99 C102:C104 C110:C117">
    <cfRule type="containsText" dxfId="293" priority="294" operator="containsText" text="OS">
      <formula>NOT(ISERROR(SEARCH("OS",C31)))</formula>
    </cfRule>
  </conditionalFormatting>
  <conditionalFormatting sqref="C87 C31 C33:C36 C51:C54 C75 C77:C80 C49 C60:C61 C64:C65 C69:C71 C84 C90 C93:C95 C99 C102:C104 C110:C117 C123:C139 C142:C149 C153:C158">
    <cfRule type="containsText" dxfId="292" priority="284" operator="containsText" text="OS">
      <formula>NOT(ISERROR(SEARCH("OS",C31)))</formula>
    </cfRule>
    <cfRule type="containsText" dxfId="291" priority="285" operator="containsText" text="OC">
      <formula>NOT(ISERROR(SEARCH("OC",C31)))</formula>
    </cfRule>
  </conditionalFormatting>
  <conditionalFormatting sqref="I113 I105 I118:I135 I145:I148 I88:I92 I31 I33:I36 I51:I54 I75 I77:I86 I49 I60:I61 I64:I65 I69:I71 I137:I140">
    <cfRule type="containsText" dxfId="290" priority="292" operator="containsText" text="REYMATEK CP">
      <formula>NOT(ISERROR(SEARCH("REYMATEK CP",I31)))</formula>
    </cfRule>
    <cfRule type="containsText" dxfId="289" priority="293" operator="containsText" text="REGENEROL A">
      <formula>NOT(ISERROR(SEARCH("REGENEROL A",I31)))</formula>
    </cfRule>
  </conditionalFormatting>
  <conditionalFormatting sqref="I98:I104 I115:I117 I106:I108">
    <cfRule type="containsText" dxfId="288" priority="290" operator="containsText" text="REYMATEK CP">
      <formula>NOT(ISERROR(SEARCH("REYMATEK CP",I98)))</formula>
    </cfRule>
    <cfRule type="containsText" dxfId="287" priority="291" operator="containsText" text="REGENEROL A">
      <formula>NOT(ISERROR(SEARCH("REGENEROL A",I98)))</formula>
    </cfRule>
  </conditionalFormatting>
  <conditionalFormatting sqref="C113:C117 C87 C31 C33:C36 C51:C54 C75 C77:C80 C49 C60:C61 C64:C65 C69:C71 C84 C90 C93:C95 C99 C102:C104 C123:C139 C142:C149">
    <cfRule type="containsText" dxfId="286" priority="289" operator="containsText" text="OC">
      <formula>NOT(ISERROR(SEARCH("OC",C31)))</formula>
    </cfRule>
  </conditionalFormatting>
  <conditionalFormatting sqref="I109:I112">
    <cfRule type="containsText" dxfId="285" priority="287" operator="containsText" text="REYMATEK CP">
      <formula>NOT(ISERROR(SEARCH("REYMATEK CP",I109)))</formula>
    </cfRule>
    <cfRule type="containsText" dxfId="284" priority="288" operator="containsText" text="REGENEROL A">
      <formula>NOT(ISERROR(SEARCH("REGENEROL A",I109)))</formula>
    </cfRule>
  </conditionalFormatting>
  <conditionalFormatting sqref="C110:C112">
    <cfRule type="containsText" dxfId="283" priority="286" operator="containsText" text="OC">
      <formula>NOT(ISERROR(SEARCH("OC",C110)))</formula>
    </cfRule>
  </conditionalFormatting>
  <conditionalFormatting sqref="C171:C172">
    <cfRule type="containsText" dxfId="282" priority="283" operator="containsText" text="OC">
      <formula>NOT(ISERROR(SEARCH("OC",C171)))</formula>
    </cfRule>
  </conditionalFormatting>
  <conditionalFormatting sqref="C171:C172">
    <cfRule type="containsText" dxfId="281" priority="282" operator="containsText" text="OS">
      <formula>NOT(ISERROR(SEARCH("OS",C171)))</formula>
    </cfRule>
  </conditionalFormatting>
  <conditionalFormatting sqref="C163:C170">
    <cfRule type="containsText" dxfId="280" priority="281" operator="containsText" text="OC">
      <formula>NOT(ISERROR(SEARCH("OC",C163)))</formula>
    </cfRule>
  </conditionalFormatting>
  <conditionalFormatting sqref="C163:C170">
    <cfRule type="containsText" dxfId="279" priority="280" operator="containsText" text="OS">
      <formula>NOT(ISERROR(SEARCH("OS",C163)))</formula>
    </cfRule>
  </conditionalFormatting>
  <conditionalFormatting sqref="C187:C189">
    <cfRule type="containsText" dxfId="278" priority="279" operator="containsText" text="OC">
      <formula>NOT(ISERROR(SEARCH("OC",C187)))</formula>
    </cfRule>
  </conditionalFormatting>
  <conditionalFormatting sqref="C187:C189">
    <cfRule type="containsText" dxfId="277" priority="278" operator="containsText" text="OS">
      <formula>NOT(ISERROR(SEARCH("OS",C187)))</formula>
    </cfRule>
  </conditionalFormatting>
  <conditionalFormatting sqref="C190:C194">
    <cfRule type="containsText" dxfId="276" priority="277" operator="containsText" text="OC">
      <formula>NOT(ISERROR(SEARCH("OC",C190)))</formula>
    </cfRule>
  </conditionalFormatting>
  <conditionalFormatting sqref="C190:C194">
    <cfRule type="containsText" dxfId="275" priority="276" operator="containsText" text="OS">
      <formula>NOT(ISERROR(SEARCH("OS",C190)))</formula>
    </cfRule>
  </conditionalFormatting>
  <conditionalFormatting sqref="C173:C178">
    <cfRule type="containsText" dxfId="274" priority="275" operator="containsText" text="OC">
      <formula>NOT(ISERROR(SEARCH("OC",C173)))</formula>
    </cfRule>
  </conditionalFormatting>
  <conditionalFormatting sqref="C173:C178">
    <cfRule type="containsText" dxfId="273" priority="274" operator="containsText" text="OS">
      <formula>NOT(ISERROR(SEARCH("OS",C173)))</formula>
    </cfRule>
  </conditionalFormatting>
  <conditionalFormatting sqref="C216:C220">
    <cfRule type="containsText" dxfId="272" priority="273" operator="containsText" text="OC">
      <formula>NOT(ISERROR(SEARCH("OC",C216)))</formula>
    </cfRule>
  </conditionalFormatting>
  <conditionalFormatting sqref="C216:C220">
    <cfRule type="containsText" dxfId="271" priority="272" operator="containsText" text="OS">
      <formula>NOT(ISERROR(SEARCH("OS",C216)))</formula>
    </cfRule>
  </conditionalFormatting>
  <conditionalFormatting sqref="C224:C228">
    <cfRule type="containsText" dxfId="270" priority="271" operator="containsText" text="OC">
      <formula>NOT(ISERROR(SEARCH("OC",C224)))</formula>
    </cfRule>
  </conditionalFormatting>
  <conditionalFormatting sqref="C224:C228">
    <cfRule type="containsText" dxfId="269" priority="270" operator="containsText" text="OS">
      <formula>NOT(ISERROR(SEARCH("OS",C224)))</formula>
    </cfRule>
  </conditionalFormatting>
  <conditionalFormatting sqref="C234:C242">
    <cfRule type="containsText" dxfId="268" priority="269" operator="containsText" text="OC">
      <formula>NOT(ISERROR(SEARCH("OC",C234)))</formula>
    </cfRule>
  </conditionalFormatting>
  <conditionalFormatting sqref="C234:C242">
    <cfRule type="containsText" dxfId="267" priority="268" operator="containsText" text="OS">
      <formula>NOT(ISERROR(SEARCH("OS",C234)))</formula>
    </cfRule>
  </conditionalFormatting>
  <conditionalFormatting sqref="C85">
    <cfRule type="containsText" dxfId="266" priority="267" operator="containsText" text="OS">
      <formula>NOT(ISERROR(SEARCH("OS",C85)))</formula>
    </cfRule>
  </conditionalFormatting>
  <conditionalFormatting sqref="C85">
    <cfRule type="containsText" dxfId="265" priority="264" operator="containsText" text="OS">
      <formula>NOT(ISERROR(SEARCH("OS",C85)))</formula>
    </cfRule>
    <cfRule type="containsText" dxfId="264" priority="265" operator="containsText" text="OC">
      <formula>NOT(ISERROR(SEARCH("OC",C85)))</formula>
    </cfRule>
  </conditionalFormatting>
  <conditionalFormatting sqref="C85">
    <cfRule type="containsText" dxfId="263" priority="266" operator="containsText" text="OC">
      <formula>NOT(ISERROR(SEARCH("OC",C85)))</formula>
    </cfRule>
  </conditionalFormatting>
  <conditionalFormatting sqref="C118:C122">
    <cfRule type="containsText" dxfId="262" priority="263" operator="containsText" text="OS">
      <formula>NOT(ISERROR(SEARCH("OS",C118)))</formula>
    </cfRule>
  </conditionalFormatting>
  <conditionalFormatting sqref="C118:C122">
    <cfRule type="containsText" dxfId="261" priority="260" operator="containsText" text="OS">
      <formula>NOT(ISERROR(SEARCH("OS",C118)))</formula>
    </cfRule>
    <cfRule type="containsText" dxfId="260" priority="261" operator="containsText" text="OC">
      <formula>NOT(ISERROR(SEARCH("OC",C118)))</formula>
    </cfRule>
  </conditionalFormatting>
  <conditionalFormatting sqref="C118:C122">
    <cfRule type="containsText" dxfId="259" priority="262" operator="containsText" text="OC">
      <formula>NOT(ISERROR(SEARCH("OC",C118)))</formula>
    </cfRule>
  </conditionalFormatting>
  <conditionalFormatting sqref="C140:C141">
    <cfRule type="containsText" dxfId="258" priority="259" operator="containsText" text="OS">
      <formula>NOT(ISERROR(SEARCH("OS",C140)))</formula>
    </cfRule>
  </conditionalFormatting>
  <conditionalFormatting sqref="C140:C141">
    <cfRule type="containsText" dxfId="257" priority="256" operator="containsText" text="OS">
      <formula>NOT(ISERROR(SEARCH("OS",C140)))</formula>
    </cfRule>
    <cfRule type="containsText" dxfId="256" priority="257" operator="containsText" text="OC">
      <formula>NOT(ISERROR(SEARCH("OC",C140)))</formula>
    </cfRule>
  </conditionalFormatting>
  <conditionalFormatting sqref="C140:C141">
    <cfRule type="containsText" dxfId="255" priority="258" operator="containsText" text="OC">
      <formula>NOT(ISERROR(SEARCH("OC",C140)))</formula>
    </cfRule>
  </conditionalFormatting>
  <conditionalFormatting sqref="C150:C152">
    <cfRule type="containsText" dxfId="254" priority="255" operator="containsText" text="OS">
      <formula>NOT(ISERROR(SEARCH("OS",C150)))</formula>
    </cfRule>
  </conditionalFormatting>
  <conditionalFormatting sqref="C150:C152">
    <cfRule type="containsText" dxfId="253" priority="253" operator="containsText" text="OS">
      <formula>NOT(ISERROR(SEARCH("OS",C150)))</formula>
    </cfRule>
    <cfRule type="containsText" dxfId="252" priority="254" operator="containsText" text="OC">
      <formula>NOT(ISERROR(SEARCH("OC",C150)))</formula>
    </cfRule>
  </conditionalFormatting>
  <conditionalFormatting sqref="P31 P33:P36 P51:P54 P75 P77:P80 P49 P60:P61 P64:P65 P69:P71 P84:P87 P90 P93:P95 P99 P102:P104 P108:P197">
    <cfRule type="cellIs" dxfId="251" priority="252" operator="greaterThan">
      <formula>0</formula>
    </cfRule>
  </conditionalFormatting>
  <conditionalFormatting sqref="C7:C9 C12:C14">
    <cfRule type="containsText" dxfId="250" priority="251" operator="containsText" text="OS">
      <formula>NOT(ISERROR(SEARCH("OS",C7)))</formula>
    </cfRule>
  </conditionalFormatting>
  <conditionalFormatting sqref="C2 C5">
    <cfRule type="containsText" dxfId="249" priority="250" operator="containsText" text="OS">
      <formula>NOT(ISERROR(SEARCH("OS",C2)))</formula>
    </cfRule>
  </conditionalFormatting>
  <conditionalFormatting sqref="C2 C5 C7:C9 C12:C14">
    <cfRule type="containsText" dxfId="248" priority="245" operator="containsText" text="OS">
      <formula>NOT(ISERROR(SEARCH("OS",C2)))</formula>
    </cfRule>
    <cfRule type="containsText" dxfId="247" priority="246" operator="containsText" text="OC">
      <formula>NOT(ISERROR(SEARCH("OC",C2)))</formula>
    </cfRule>
  </conditionalFormatting>
  <conditionalFormatting sqref="I2 I4:I9 I12:I18">
    <cfRule type="containsText" dxfId="246" priority="248" operator="containsText" text="REYMATEK CP">
      <formula>NOT(ISERROR(SEARCH("REYMATEK CP",I2)))</formula>
    </cfRule>
    <cfRule type="containsText" dxfId="245" priority="249" operator="containsText" text="REGENEROL A">
      <formula>NOT(ISERROR(SEARCH("REGENEROL A",I2)))</formula>
    </cfRule>
  </conditionalFormatting>
  <conditionalFormatting sqref="C2 C5 C7:C9 C12:C14">
    <cfRule type="containsText" dxfId="244" priority="247" operator="containsText" text="OC">
      <formula>NOT(ISERROR(SEARCH("OC",C2)))</formula>
    </cfRule>
  </conditionalFormatting>
  <conditionalFormatting sqref="C6">
    <cfRule type="containsText" dxfId="243" priority="235" operator="containsText" text="OS">
      <formula>NOT(ISERROR(SEARCH("OS",C6)))</formula>
    </cfRule>
    <cfRule type="containsText" dxfId="242" priority="236" operator="containsText" text="OC">
      <formula>NOT(ISERROR(SEARCH("OC",C6)))</formula>
    </cfRule>
  </conditionalFormatting>
  <conditionalFormatting sqref="C3:C4">
    <cfRule type="containsText" dxfId="241" priority="244" operator="containsText" text="OS">
      <formula>NOT(ISERROR(SEARCH("OS",C3)))</formula>
    </cfRule>
  </conditionalFormatting>
  <conditionalFormatting sqref="C3:C4">
    <cfRule type="containsText" dxfId="240" priority="239" operator="containsText" text="OS">
      <formula>NOT(ISERROR(SEARCH("OS",C3)))</formula>
    </cfRule>
    <cfRule type="containsText" dxfId="239" priority="240" operator="containsText" text="OC">
      <formula>NOT(ISERROR(SEARCH("OC",C3)))</formula>
    </cfRule>
  </conditionalFormatting>
  <conditionalFormatting sqref="I3">
    <cfRule type="containsText" dxfId="238" priority="242" operator="containsText" text="REYMATEK CP">
      <formula>NOT(ISERROR(SEARCH("REYMATEK CP",I3)))</formula>
    </cfRule>
    <cfRule type="containsText" dxfId="237" priority="243" operator="containsText" text="REGENEROL A">
      <formula>NOT(ISERROR(SEARCH("REGENEROL A",I3)))</formula>
    </cfRule>
  </conditionalFormatting>
  <conditionalFormatting sqref="C3:C4">
    <cfRule type="containsText" dxfId="236" priority="241" operator="containsText" text="OC">
      <formula>NOT(ISERROR(SEARCH("OC",C3)))</formula>
    </cfRule>
  </conditionalFormatting>
  <conditionalFormatting sqref="C6">
    <cfRule type="containsText" dxfId="235" priority="238" operator="containsText" text="OS">
      <formula>NOT(ISERROR(SEARCH("OS",C6)))</formula>
    </cfRule>
  </conditionalFormatting>
  <conditionalFormatting sqref="C6">
    <cfRule type="containsText" dxfId="234" priority="237" operator="containsText" text="OC">
      <formula>NOT(ISERROR(SEARCH("OC",C6)))</formula>
    </cfRule>
  </conditionalFormatting>
  <conditionalFormatting sqref="C15">
    <cfRule type="containsText" dxfId="233" priority="231" operator="containsText" text="OS">
      <formula>NOT(ISERROR(SEARCH("OS",C15)))</formula>
    </cfRule>
    <cfRule type="containsText" dxfId="232" priority="232" operator="containsText" text="OC">
      <formula>NOT(ISERROR(SEARCH("OC",C15)))</formula>
    </cfRule>
  </conditionalFormatting>
  <conditionalFormatting sqref="C15">
    <cfRule type="containsText" dxfId="231" priority="234" operator="containsText" text="OS">
      <formula>NOT(ISERROR(SEARCH("OS",C15)))</formula>
    </cfRule>
  </conditionalFormatting>
  <conditionalFormatting sqref="C15">
    <cfRule type="containsText" dxfId="230" priority="233" operator="containsText" text="OC">
      <formula>NOT(ISERROR(SEARCH("OC",C15)))</formula>
    </cfRule>
  </conditionalFormatting>
  <conditionalFormatting sqref="I10">
    <cfRule type="containsText" dxfId="229" priority="229" operator="containsText" text="REYMATEK CP">
      <formula>NOT(ISERROR(SEARCH("REYMATEK CP",I10)))</formula>
    </cfRule>
    <cfRule type="containsText" dxfId="228" priority="230" operator="containsText" text="REGENEROL A">
      <formula>NOT(ISERROR(SEARCH("REGENEROL A",I10)))</formula>
    </cfRule>
  </conditionalFormatting>
  <conditionalFormatting sqref="I11">
    <cfRule type="containsText" dxfId="227" priority="227" operator="containsText" text="REYMATEK CP">
      <formula>NOT(ISERROR(SEARCH("REYMATEK CP",I11)))</formula>
    </cfRule>
    <cfRule type="containsText" dxfId="226" priority="228" operator="containsText" text="REGENEROL A">
      <formula>NOT(ISERROR(SEARCH("REGENEROL A",I11)))</formula>
    </cfRule>
  </conditionalFormatting>
  <conditionalFormatting sqref="I19">
    <cfRule type="containsText" dxfId="225" priority="225" operator="containsText" text="REYMATEK CP">
      <formula>NOT(ISERROR(SEARCH("REYMATEK CP",I19)))</formula>
    </cfRule>
    <cfRule type="containsText" dxfId="224" priority="226" operator="containsText" text="REGENEROL A">
      <formula>NOT(ISERROR(SEARCH("REGENEROL A",I19)))</formula>
    </cfRule>
  </conditionalFormatting>
  <conditionalFormatting sqref="I20">
    <cfRule type="containsText" dxfId="223" priority="223" operator="containsText" text="REYMATEK CP">
      <formula>NOT(ISERROR(SEARCH("REYMATEK CP",I20)))</formula>
    </cfRule>
    <cfRule type="containsText" dxfId="222" priority="224" operator="containsText" text="REGENEROL A">
      <formula>NOT(ISERROR(SEARCH("REGENEROL A",I20)))</formula>
    </cfRule>
  </conditionalFormatting>
  <conditionalFormatting sqref="I21">
    <cfRule type="containsText" dxfId="221" priority="221" operator="containsText" text="REYMATEK CP">
      <formula>NOT(ISERROR(SEARCH("REYMATEK CP",I21)))</formula>
    </cfRule>
    <cfRule type="containsText" dxfId="220" priority="222" operator="containsText" text="REGENEROL A">
      <formula>NOT(ISERROR(SEARCH("REGENEROL A",I21)))</formula>
    </cfRule>
  </conditionalFormatting>
  <conditionalFormatting sqref="I22">
    <cfRule type="containsText" dxfId="219" priority="219" operator="containsText" text="REYMATEK CP">
      <formula>NOT(ISERROR(SEARCH("REYMATEK CP",I22)))</formula>
    </cfRule>
    <cfRule type="containsText" dxfId="218" priority="220" operator="containsText" text="REGENEROL A">
      <formula>NOT(ISERROR(SEARCH("REGENEROL A",I22)))</formula>
    </cfRule>
  </conditionalFormatting>
  <conditionalFormatting sqref="C22">
    <cfRule type="containsText" dxfId="217" priority="215" operator="containsText" text="OS">
      <formula>NOT(ISERROR(SEARCH("OS",C22)))</formula>
    </cfRule>
    <cfRule type="containsText" dxfId="216" priority="216" operator="containsText" text="OC">
      <formula>NOT(ISERROR(SEARCH("OC",C22)))</formula>
    </cfRule>
  </conditionalFormatting>
  <conditionalFormatting sqref="C22">
    <cfRule type="containsText" dxfId="215" priority="218" operator="containsText" text="OS">
      <formula>NOT(ISERROR(SEARCH("OS",C22)))</formula>
    </cfRule>
  </conditionalFormatting>
  <conditionalFormatting sqref="C22">
    <cfRule type="containsText" dxfId="214" priority="217" operator="containsText" text="OC">
      <formula>NOT(ISERROR(SEARCH("OC",C22)))</formula>
    </cfRule>
  </conditionalFormatting>
  <conditionalFormatting sqref="I23">
    <cfRule type="containsText" dxfId="213" priority="213" operator="containsText" text="REYMATEK CP">
      <formula>NOT(ISERROR(SEARCH("REYMATEK CP",I23)))</formula>
    </cfRule>
    <cfRule type="containsText" dxfId="212" priority="214" operator="containsText" text="REGENEROL A">
      <formula>NOT(ISERROR(SEARCH("REGENEROL A",I23)))</formula>
    </cfRule>
  </conditionalFormatting>
  <conditionalFormatting sqref="C23">
    <cfRule type="containsText" dxfId="211" priority="209" operator="containsText" text="OS">
      <formula>NOT(ISERROR(SEARCH("OS",C23)))</formula>
    </cfRule>
    <cfRule type="containsText" dxfId="210" priority="210" operator="containsText" text="OC">
      <formula>NOT(ISERROR(SEARCH("OC",C23)))</formula>
    </cfRule>
  </conditionalFormatting>
  <conditionalFormatting sqref="C23">
    <cfRule type="containsText" dxfId="209" priority="212" operator="containsText" text="OS">
      <formula>NOT(ISERROR(SEARCH("OS",C23)))</formula>
    </cfRule>
  </conditionalFormatting>
  <conditionalFormatting sqref="C23">
    <cfRule type="containsText" dxfId="208" priority="211" operator="containsText" text="OC">
      <formula>NOT(ISERROR(SEARCH("OC",C23)))</formula>
    </cfRule>
  </conditionalFormatting>
  <conditionalFormatting sqref="C28:C30">
    <cfRule type="containsText" dxfId="207" priority="208" operator="containsText" text="OS">
      <formula>NOT(ISERROR(SEARCH("OS",C28)))</formula>
    </cfRule>
  </conditionalFormatting>
  <conditionalFormatting sqref="C28:C30">
    <cfRule type="containsText" dxfId="206" priority="205" operator="containsText" text="OS">
      <formula>NOT(ISERROR(SEARCH("OS",C28)))</formula>
    </cfRule>
    <cfRule type="containsText" dxfId="205" priority="206" operator="containsText" text="OC">
      <formula>NOT(ISERROR(SEARCH("OC",C28)))</formula>
    </cfRule>
  </conditionalFormatting>
  <conditionalFormatting sqref="C28:C30">
    <cfRule type="containsText" dxfId="204" priority="207" operator="containsText" text="OC">
      <formula>NOT(ISERROR(SEARCH("OC",C28)))</formula>
    </cfRule>
  </conditionalFormatting>
  <conditionalFormatting sqref="P28">
    <cfRule type="cellIs" dxfId="203" priority="204" operator="greaterThan">
      <formula>0</formula>
    </cfRule>
  </conditionalFormatting>
  <conditionalFormatting sqref="C32">
    <cfRule type="containsText" dxfId="202" priority="203" operator="containsText" text="OS">
      <formula>NOT(ISERROR(SEARCH("OS",C32)))</formula>
    </cfRule>
  </conditionalFormatting>
  <conditionalFormatting sqref="C32">
    <cfRule type="containsText" dxfId="201" priority="198" operator="containsText" text="OS">
      <formula>NOT(ISERROR(SEARCH("OS",C32)))</formula>
    </cfRule>
    <cfRule type="containsText" dxfId="200" priority="199" operator="containsText" text="OC">
      <formula>NOT(ISERROR(SEARCH("OC",C32)))</formula>
    </cfRule>
  </conditionalFormatting>
  <conditionalFormatting sqref="I32">
    <cfRule type="containsText" dxfId="199" priority="201" operator="containsText" text="REYMATEK CP">
      <formula>NOT(ISERROR(SEARCH("REYMATEK CP",I32)))</formula>
    </cfRule>
    <cfRule type="containsText" dxfId="198" priority="202" operator="containsText" text="REGENEROL A">
      <formula>NOT(ISERROR(SEARCH("REGENEROL A",I32)))</formula>
    </cfRule>
  </conditionalFormatting>
  <conditionalFormatting sqref="C32">
    <cfRule type="containsText" dxfId="197" priority="200" operator="containsText" text="OC">
      <formula>NOT(ISERROR(SEARCH("OC",C32)))</formula>
    </cfRule>
  </conditionalFormatting>
  <conditionalFormatting sqref="P32">
    <cfRule type="cellIs" dxfId="196" priority="197" operator="greaterThan">
      <formula>0</formula>
    </cfRule>
  </conditionalFormatting>
  <conditionalFormatting sqref="K64:K65 K69:K71">
    <cfRule type="containsText" dxfId="195" priority="195" operator="containsText" text="REYMATEK CP">
      <formula>NOT(ISERROR(SEARCH("REYMATEK CP",K64)))</formula>
    </cfRule>
    <cfRule type="containsText" dxfId="194" priority="196" operator="containsText" text="REGENEROL A">
      <formula>NOT(ISERROR(SEARCH("REGENEROL A",K64)))</formula>
    </cfRule>
  </conditionalFormatting>
  <conditionalFormatting sqref="C10:C11">
    <cfRule type="containsText" dxfId="193" priority="194" operator="containsText" text="OS">
      <formula>NOT(ISERROR(SEARCH("OS",C10)))</formula>
    </cfRule>
  </conditionalFormatting>
  <conditionalFormatting sqref="C10:C11">
    <cfRule type="containsText" dxfId="192" priority="191" operator="containsText" text="OS">
      <formula>NOT(ISERROR(SEARCH("OS",C10)))</formula>
    </cfRule>
    <cfRule type="containsText" dxfId="191" priority="192" operator="containsText" text="OC">
      <formula>NOT(ISERROR(SEARCH("OC",C10)))</formula>
    </cfRule>
  </conditionalFormatting>
  <conditionalFormatting sqref="C10:C11">
    <cfRule type="containsText" dxfId="190" priority="193" operator="containsText" text="OC">
      <formula>NOT(ISERROR(SEARCH("OC",C10)))</formula>
    </cfRule>
  </conditionalFormatting>
  <conditionalFormatting sqref="C16:C21">
    <cfRule type="containsText" dxfId="189" priority="187" operator="containsText" text="OS">
      <formula>NOT(ISERROR(SEARCH("OS",C16)))</formula>
    </cfRule>
    <cfRule type="containsText" dxfId="188" priority="188" operator="containsText" text="OC">
      <formula>NOT(ISERROR(SEARCH("OC",C16)))</formula>
    </cfRule>
  </conditionalFormatting>
  <conditionalFormatting sqref="C16:C21">
    <cfRule type="containsText" dxfId="187" priority="190" operator="containsText" text="OS">
      <formula>NOT(ISERROR(SEARCH("OS",C16)))</formula>
    </cfRule>
  </conditionalFormatting>
  <conditionalFormatting sqref="C16:C21">
    <cfRule type="containsText" dxfId="186" priority="189" operator="containsText" text="OC">
      <formula>NOT(ISERROR(SEARCH("OC",C16)))</formula>
    </cfRule>
  </conditionalFormatting>
  <conditionalFormatting sqref="C24:C27">
    <cfRule type="containsText" dxfId="185" priority="183" operator="containsText" text="OS">
      <formula>NOT(ISERROR(SEARCH("OS",C24)))</formula>
    </cfRule>
    <cfRule type="containsText" dxfId="184" priority="184" operator="containsText" text="OC">
      <formula>NOT(ISERROR(SEARCH("OC",C24)))</formula>
    </cfRule>
  </conditionalFormatting>
  <conditionalFormatting sqref="C24:C27">
    <cfRule type="containsText" dxfId="183" priority="186" operator="containsText" text="OS">
      <formula>NOT(ISERROR(SEARCH("OS",C24)))</formula>
    </cfRule>
  </conditionalFormatting>
  <conditionalFormatting sqref="C24:C27">
    <cfRule type="containsText" dxfId="182" priority="185" operator="containsText" text="OC">
      <formula>NOT(ISERROR(SEARCH("OC",C24)))</formula>
    </cfRule>
  </conditionalFormatting>
  <conditionalFormatting sqref="P29:P30">
    <cfRule type="cellIs" dxfId="181" priority="182" operator="greaterThan">
      <formula>0</formula>
    </cfRule>
  </conditionalFormatting>
  <conditionalFormatting sqref="C50">
    <cfRule type="containsText" dxfId="180" priority="181" operator="containsText" text="OS">
      <formula>NOT(ISERROR(SEARCH("OS",C50)))</formula>
    </cfRule>
  </conditionalFormatting>
  <conditionalFormatting sqref="C50">
    <cfRule type="containsText" dxfId="179" priority="176" operator="containsText" text="OS">
      <formula>NOT(ISERROR(SEARCH("OS",C50)))</formula>
    </cfRule>
    <cfRule type="containsText" dxfId="178" priority="177" operator="containsText" text="OC">
      <formula>NOT(ISERROR(SEARCH("OC",C50)))</formula>
    </cfRule>
  </conditionalFormatting>
  <conditionalFormatting sqref="I50">
    <cfRule type="containsText" dxfId="177" priority="179" operator="containsText" text="REYMATEK CP">
      <formula>NOT(ISERROR(SEARCH("REYMATEK CP",I50)))</formula>
    </cfRule>
    <cfRule type="containsText" dxfId="176" priority="180" operator="containsText" text="REGENEROL A">
      <formula>NOT(ISERROR(SEARCH("REGENEROL A",I50)))</formula>
    </cfRule>
  </conditionalFormatting>
  <conditionalFormatting sqref="C50">
    <cfRule type="containsText" dxfId="175" priority="178" operator="containsText" text="OC">
      <formula>NOT(ISERROR(SEARCH("OC",C50)))</formula>
    </cfRule>
  </conditionalFormatting>
  <conditionalFormatting sqref="P50">
    <cfRule type="cellIs" dxfId="174" priority="175" operator="greaterThan">
      <formula>0</formula>
    </cfRule>
  </conditionalFormatting>
  <conditionalFormatting sqref="C72">
    <cfRule type="containsText" dxfId="173" priority="174" operator="containsText" text="OS">
      <formula>NOT(ISERROR(SEARCH("OS",C72)))</formula>
    </cfRule>
  </conditionalFormatting>
  <conditionalFormatting sqref="C72">
    <cfRule type="containsText" dxfId="172" priority="169" operator="containsText" text="OS">
      <formula>NOT(ISERROR(SEARCH("OS",C72)))</formula>
    </cfRule>
    <cfRule type="containsText" dxfId="171" priority="170" operator="containsText" text="OC">
      <formula>NOT(ISERROR(SEARCH("OC",C72)))</formula>
    </cfRule>
  </conditionalFormatting>
  <conditionalFormatting sqref="I72">
    <cfRule type="containsText" dxfId="170" priority="172" operator="containsText" text="REYMATEK CP">
      <formula>NOT(ISERROR(SEARCH("REYMATEK CP",I72)))</formula>
    </cfRule>
    <cfRule type="containsText" dxfId="169" priority="173" operator="containsText" text="REGENEROL A">
      <formula>NOT(ISERROR(SEARCH("REGENEROL A",I72)))</formula>
    </cfRule>
  </conditionalFormatting>
  <conditionalFormatting sqref="C72">
    <cfRule type="containsText" dxfId="168" priority="171" operator="containsText" text="OC">
      <formula>NOT(ISERROR(SEARCH("OC",C72)))</formula>
    </cfRule>
  </conditionalFormatting>
  <conditionalFormatting sqref="P72">
    <cfRule type="cellIs" dxfId="167" priority="168" operator="greaterThan">
      <formula>0</formula>
    </cfRule>
  </conditionalFormatting>
  <conditionalFormatting sqref="K72">
    <cfRule type="containsText" dxfId="166" priority="166" operator="containsText" text="REYMATEK CP">
      <formula>NOT(ISERROR(SEARCH("REYMATEK CP",K72)))</formula>
    </cfRule>
    <cfRule type="containsText" dxfId="165" priority="167" operator="containsText" text="REGENEROL A">
      <formula>NOT(ISERROR(SEARCH("REGENEROL A",K72)))</formula>
    </cfRule>
  </conditionalFormatting>
  <conditionalFormatting sqref="C73">
    <cfRule type="containsText" dxfId="164" priority="165" operator="containsText" text="OS">
      <formula>NOT(ISERROR(SEARCH("OS",C73)))</formula>
    </cfRule>
  </conditionalFormatting>
  <conditionalFormatting sqref="C73">
    <cfRule type="containsText" dxfId="163" priority="160" operator="containsText" text="OS">
      <formula>NOT(ISERROR(SEARCH("OS",C73)))</formula>
    </cfRule>
    <cfRule type="containsText" dxfId="162" priority="161" operator="containsText" text="OC">
      <formula>NOT(ISERROR(SEARCH("OC",C73)))</formula>
    </cfRule>
  </conditionalFormatting>
  <conditionalFormatting sqref="I73">
    <cfRule type="containsText" dxfId="161" priority="163" operator="containsText" text="REYMATEK CP">
      <formula>NOT(ISERROR(SEARCH("REYMATEK CP",I73)))</formula>
    </cfRule>
    <cfRule type="containsText" dxfId="160" priority="164" operator="containsText" text="REGENEROL A">
      <formula>NOT(ISERROR(SEARCH("REGENEROL A",I73)))</formula>
    </cfRule>
  </conditionalFormatting>
  <conditionalFormatting sqref="C73">
    <cfRule type="containsText" dxfId="159" priority="162" operator="containsText" text="OC">
      <formula>NOT(ISERROR(SEARCH("OC",C73)))</formula>
    </cfRule>
  </conditionalFormatting>
  <conditionalFormatting sqref="P73">
    <cfRule type="cellIs" dxfId="158" priority="159" operator="greaterThan">
      <formula>0</formula>
    </cfRule>
  </conditionalFormatting>
  <conditionalFormatting sqref="K73">
    <cfRule type="containsText" dxfId="157" priority="157" operator="containsText" text="REYMATEK CP">
      <formula>NOT(ISERROR(SEARCH("REYMATEK CP",K73)))</formula>
    </cfRule>
    <cfRule type="containsText" dxfId="156" priority="158" operator="containsText" text="REGENEROL A">
      <formula>NOT(ISERROR(SEARCH("REGENEROL A",K73)))</formula>
    </cfRule>
  </conditionalFormatting>
  <conditionalFormatting sqref="C74">
    <cfRule type="containsText" dxfId="155" priority="156" operator="containsText" text="OS">
      <formula>NOT(ISERROR(SEARCH("OS",C74)))</formula>
    </cfRule>
  </conditionalFormatting>
  <conditionalFormatting sqref="C74">
    <cfRule type="containsText" dxfId="154" priority="151" operator="containsText" text="OS">
      <formula>NOT(ISERROR(SEARCH("OS",C74)))</formula>
    </cfRule>
    <cfRule type="containsText" dxfId="153" priority="152" operator="containsText" text="OC">
      <formula>NOT(ISERROR(SEARCH("OC",C74)))</formula>
    </cfRule>
  </conditionalFormatting>
  <conditionalFormatting sqref="I74">
    <cfRule type="containsText" dxfId="152" priority="154" operator="containsText" text="REYMATEK CP">
      <formula>NOT(ISERROR(SEARCH("REYMATEK CP",I74)))</formula>
    </cfRule>
    <cfRule type="containsText" dxfId="151" priority="155" operator="containsText" text="REGENEROL A">
      <formula>NOT(ISERROR(SEARCH("REGENEROL A",I74)))</formula>
    </cfRule>
  </conditionalFormatting>
  <conditionalFormatting sqref="C74">
    <cfRule type="containsText" dxfId="150" priority="153" operator="containsText" text="OC">
      <formula>NOT(ISERROR(SEARCH("OC",C74)))</formula>
    </cfRule>
  </conditionalFormatting>
  <conditionalFormatting sqref="P74">
    <cfRule type="cellIs" dxfId="149" priority="150" operator="greaterThan">
      <formula>0</formula>
    </cfRule>
  </conditionalFormatting>
  <conditionalFormatting sqref="K74">
    <cfRule type="containsText" dxfId="148" priority="148" operator="containsText" text="REYMATEK CP">
      <formula>NOT(ISERROR(SEARCH("REYMATEK CP",K74)))</formula>
    </cfRule>
    <cfRule type="containsText" dxfId="147" priority="149" operator="containsText" text="REGENEROL A">
      <formula>NOT(ISERROR(SEARCH("REGENEROL A",K74)))</formula>
    </cfRule>
  </conditionalFormatting>
  <conditionalFormatting sqref="C76">
    <cfRule type="containsText" dxfId="146" priority="147" operator="containsText" text="OS">
      <formula>NOT(ISERROR(SEARCH("OS",C76)))</formula>
    </cfRule>
  </conditionalFormatting>
  <conditionalFormatting sqref="C76">
    <cfRule type="containsText" dxfId="145" priority="142" operator="containsText" text="OS">
      <formula>NOT(ISERROR(SEARCH("OS",C76)))</formula>
    </cfRule>
    <cfRule type="containsText" dxfId="144" priority="143" operator="containsText" text="OC">
      <formula>NOT(ISERROR(SEARCH("OC",C76)))</formula>
    </cfRule>
  </conditionalFormatting>
  <conditionalFormatting sqref="I76">
    <cfRule type="containsText" dxfId="143" priority="145" operator="containsText" text="REYMATEK CP">
      <formula>NOT(ISERROR(SEARCH("REYMATEK CP",I76)))</formula>
    </cfRule>
    <cfRule type="containsText" dxfId="142" priority="146" operator="containsText" text="REGENEROL A">
      <formula>NOT(ISERROR(SEARCH("REGENEROL A",I76)))</formula>
    </cfRule>
  </conditionalFormatting>
  <conditionalFormatting sqref="C76">
    <cfRule type="containsText" dxfId="141" priority="144" operator="containsText" text="OC">
      <formula>NOT(ISERROR(SEARCH("OC",C76)))</formula>
    </cfRule>
  </conditionalFormatting>
  <conditionalFormatting sqref="P76">
    <cfRule type="cellIs" dxfId="140" priority="141" operator="greaterThan">
      <formula>0</formula>
    </cfRule>
  </conditionalFormatting>
  <conditionalFormatting sqref="C37:C39">
    <cfRule type="containsText" dxfId="139" priority="140" operator="containsText" text="OS">
      <formula>NOT(ISERROR(SEARCH("OS",C37)))</formula>
    </cfRule>
  </conditionalFormatting>
  <conditionalFormatting sqref="C37:C39">
    <cfRule type="containsText" dxfId="138" priority="135" operator="containsText" text="OS">
      <formula>NOT(ISERROR(SEARCH("OS",C37)))</formula>
    </cfRule>
    <cfRule type="containsText" dxfId="137" priority="136" operator="containsText" text="OC">
      <formula>NOT(ISERROR(SEARCH("OC",C37)))</formula>
    </cfRule>
  </conditionalFormatting>
  <conditionalFormatting sqref="I37">
    <cfRule type="containsText" dxfId="136" priority="138" operator="containsText" text="REYMATEK CP">
      <formula>NOT(ISERROR(SEARCH("REYMATEK CP",I37)))</formula>
    </cfRule>
    <cfRule type="containsText" dxfId="135" priority="139" operator="containsText" text="REGENEROL A">
      <formula>NOT(ISERROR(SEARCH("REGENEROL A",I37)))</formula>
    </cfRule>
  </conditionalFormatting>
  <conditionalFormatting sqref="C37:C39">
    <cfRule type="containsText" dxfId="134" priority="137" operator="containsText" text="OC">
      <formula>NOT(ISERROR(SEARCH("OC",C37)))</formula>
    </cfRule>
  </conditionalFormatting>
  <conditionalFormatting sqref="P37:P39">
    <cfRule type="cellIs" dxfId="133" priority="134" operator="greaterThan">
      <formula>0</formula>
    </cfRule>
  </conditionalFormatting>
  <conditionalFormatting sqref="C40">
    <cfRule type="containsText" dxfId="132" priority="133" operator="containsText" text="OS">
      <formula>NOT(ISERROR(SEARCH("OS",C40)))</formula>
    </cfRule>
  </conditionalFormatting>
  <conditionalFormatting sqref="C40">
    <cfRule type="containsText" dxfId="131" priority="130" operator="containsText" text="OS">
      <formula>NOT(ISERROR(SEARCH("OS",C40)))</formula>
    </cfRule>
    <cfRule type="containsText" dxfId="130" priority="131" operator="containsText" text="OC">
      <formula>NOT(ISERROR(SEARCH("OC",C40)))</formula>
    </cfRule>
  </conditionalFormatting>
  <conditionalFormatting sqref="C40">
    <cfRule type="containsText" dxfId="129" priority="132" operator="containsText" text="OC">
      <formula>NOT(ISERROR(SEARCH("OC",C40)))</formula>
    </cfRule>
  </conditionalFormatting>
  <conditionalFormatting sqref="P40">
    <cfRule type="cellIs" dxfId="128" priority="129" operator="greaterThan">
      <formula>0</formula>
    </cfRule>
  </conditionalFormatting>
  <conditionalFormatting sqref="C41">
    <cfRule type="containsText" dxfId="127" priority="128" operator="containsText" text="OS">
      <formula>NOT(ISERROR(SEARCH("OS",C41)))</formula>
    </cfRule>
  </conditionalFormatting>
  <conditionalFormatting sqref="C41">
    <cfRule type="containsText" dxfId="126" priority="125" operator="containsText" text="OS">
      <formula>NOT(ISERROR(SEARCH("OS",C41)))</formula>
    </cfRule>
    <cfRule type="containsText" dxfId="125" priority="126" operator="containsText" text="OC">
      <formula>NOT(ISERROR(SEARCH("OC",C41)))</formula>
    </cfRule>
  </conditionalFormatting>
  <conditionalFormatting sqref="C41">
    <cfRule type="containsText" dxfId="124" priority="127" operator="containsText" text="OC">
      <formula>NOT(ISERROR(SEARCH("OC",C41)))</formula>
    </cfRule>
  </conditionalFormatting>
  <conditionalFormatting sqref="P41">
    <cfRule type="cellIs" dxfId="123" priority="124" operator="greaterThan">
      <formula>0</formula>
    </cfRule>
  </conditionalFormatting>
  <conditionalFormatting sqref="C42">
    <cfRule type="containsText" dxfId="122" priority="123" operator="containsText" text="OS">
      <formula>NOT(ISERROR(SEARCH("OS",C42)))</formula>
    </cfRule>
  </conditionalFormatting>
  <conditionalFormatting sqref="C42">
    <cfRule type="containsText" dxfId="121" priority="120" operator="containsText" text="OS">
      <formula>NOT(ISERROR(SEARCH("OS",C42)))</formula>
    </cfRule>
    <cfRule type="containsText" dxfId="120" priority="121" operator="containsText" text="OC">
      <formula>NOT(ISERROR(SEARCH("OC",C42)))</formula>
    </cfRule>
  </conditionalFormatting>
  <conditionalFormatting sqref="C42">
    <cfRule type="containsText" dxfId="119" priority="122" operator="containsText" text="OC">
      <formula>NOT(ISERROR(SEARCH("OC",C42)))</formula>
    </cfRule>
  </conditionalFormatting>
  <conditionalFormatting sqref="P42">
    <cfRule type="cellIs" dxfId="118" priority="119" operator="greaterThan">
      <formula>0</formula>
    </cfRule>
  </conditionalFormatting>
  <conditionalFormatting sqref="C43">
    <cfRule type="containsText" dxfId="117" priority="118" operator="containsText" text="OS">
      <formula>NOT(ISERROR(SEARCH("OS",C43)))</formula>
    </cfRule>
  </conditionalFormatting>
  <conditionalFormatting sqref="C43">
    <cfRule type="containsText" dxfId="116" priority="115" operator="containsText" text="OS">
      <formula>NOT(ISERROR(SEARCH("OS",C43)))</formula>
    </cfRule>
    <cfRule type="containsText" dxfId="115" priority="116" operator="containsText" text="OC">
      <formula>NOT(ISERROR(SEARCH("OC",C43)))</formula>
    </cfRule>
  </conditionalFormatting>
  <conditionalFormatting sqref="C43">
    <cfRule type="containsText" dxfId="114" priority="117" operator="containsText" text="OC">
      <formula>NOT(ISERROR(SEARCH("OC",C43)))</formula>
    </cfRule>
  </conditionalFormatting>
  <conditionalFormatting sqref="P43">
    <cfRule type="cellIs" dxfId="113" priority="114" operator="greaterThan">
      <formula>0</formula>
    </cfRule>
  </conditionalFormatting>
  <conditionalFormatting sqref="C44">
    <cfRule type="containsText" dxfId="112" priority="113" operator="containsText" text="OS">
      <formula>NOT(ISERROR(SEARCH("OS",C44)))</formula>
    </cfRule>
  </conditionalFormatting>
  <conditionalFormatting sqref="C44">
    <cfRule type="containsText" dxfId="111" priority="110" operator="containsText" text="OS">
      <formula>NOT(ISERROR(SEARCH("OS",C44)))</formula>
    </cfRule>
    <cfRule type="containsText" dxfId="110" priority="111" operator="containsText" text="OC">
      <formula>NOT(ISERROR(SEARCH("OC",C44)))</formula>
    </cfRule>
  </conditionalFormatting>
  <conditionalFormatting sqref="C44">
    <cfRule type="containsText" dxfId="109" priority="112" operator="containsText" text="OC">
      <formula>NOT(ISERROR(SEARCH("OC",C44)))</formula>
    </cfRule>
  </conditionalFormatting>
  <conditionalFormatting sqref="P44">
    <cfRule type="cellIs" dxfId="108" priority="109" operator="greaterThan">
      <formula>0</formula>
    </cfRule>
  </conditionalFormatting>
  <conditionalFormatting sqref="C45">
    <cfRule type="containsText" dxfId="107" priority="108" operator="containsText" text="OS">
      <formula>NOT(ISERROR(SEARCH("OS",C45)))</formula>
    </cfRule>
  </conditionalFormatting>
  <conditionalFormatting sqref="C45">
    <cfRule type="containsText" dxfId="106" priority="105" operator="containsText" text="OS">
      <formula>NOT(ISERROR(SEARCH("OS",C45)))</formula>
    </cfRule>
    <cfRule type="containsText" dxfId="105" priority="106" operator="containsText" text="OC">
      <formula>NOT(ISERROR(SEARCH("OC",C45)))</formula>
    </cfRule>
  </conditionalFormatting>
  <conditionalFormatting sqref="C45">
    <cfRule type="containsText" dxfId="104" priority="107" operator="containsText" text="OC">
      <formula>NOT(ISERROR(SEARCH("OC",C45)))</formula>
    </cfRule>
  </conditionalFormatting>
  <conditionalFormatting sqref="P45">
    <cfRule type="cellIs" dxfId="103" priority="104" operator="greaterThan">
      <formula>0</formula>
    </cfRule>
  </conditionalFormatting>
  <conditionalFormatting sqref="C46">
    <cfRule type="containsText" dxfId="102" priority="103" operator="containsText" text="OS">
      <formula>NOT(ISERROR(SEARCH("OS",C46)))</formula>
    </cfRule>
  </conditionalFormatting>
  <conditionalFormatting sqref="C46">
    <cfRule type="containsText" dxfId="101" priority="100" operator="containsText" text="OS">
      <formula>NOT(ISERROR(SEARCH("OS",C46)))</formula>
    </cfRule>
    <cfRule type="containsText" dxfId="100" priority="101" operator="containsText" text="OC">
      <formula>NOT(ISERROR(SEARCH("OC",C46)))</formula>
    </cfRule>
  </conditionalFormatting>
  <conditionalFormatting sqref="C46">
    <cfRule type="containsText" dxfId="99" priority="102" operator="containsText" text="OC">
      <formula>NOT(ISERROR(SEARCH("OC",C46)))</formula>
    </cfRule>
  </conditionalFormatting>
  <conditionalFormatting sqref="P46">
    <cfRule type="cellIs" dxfId="98" priority="99" operator="greaterThan">
      <formula>0</formula>
    </cfRule>
  </conditionalFormatting>
  <conditionalFormatting sqref="C47">
    <cfRule type="containsText" dxfId="97" priority="98" operator="containsText" text="OS">
      <formula>NOT(ISERROR(SEARCH("OS",C47)))</formula>
    </cfRule>
  </conditionalFormatting>
  <conditionalFormatting sqref="C47">
    <cfRule type="containsText" dxfId="96" priority="95" operator="containsText" text="OS">
      <formula>NOT(ISERROR(SEARCH("OS",C47)))</formula>
    </cfRule>
    <cfRule type="containsText" dxfId="95" priority="96" operator="containsText" text="OC">
      <formula>NOT(ISERROR(SEARCH("OC",C47)))</formula>
    </cfRule>
  </conditionalFormatting>
  <conditionalFormatting sqref="C47">
    <cfRule type="containsText" dxfId="94" priority="97" operator="containsText" text="OC">
      <formula>NOT(ISERROR(SEARCH("OC",C47)))</formula>
    </cfRule>
  </conditionalFormatting>
  <conditionalFormatting sqref="P47">
    <cfRule type="cellIs" dxfId="93" priority="94" operator="greaterThan">
      <formula>0</formula>
    </cfRule>
  </conditionalFormatting>
  <conditionalFormatting sqref="C48">
    <cfRule type="containsText" dxfId="92" priority="93" operator="containsText" text="OS">
      <formula>NOT(ISERROR(SEARCH("OS",C48)))</formula>
    </cfRule>
  </conditionalFormatting>
  <conditionalFormatting sqref="C48">
    <cfRule type="containsText" dxfId="91" priority="90" operator="containsText" text="OS">
      <formula>NOT(ISERROR(SEARCH("OS",C48)))</formula>
    </cfRule>
    <cfRule type="containsText" dxfId="90" priority="91" operator="containsText" text="OC">
      <formula>NOT(ISERROR(SEARCH("OC",C48)))</formula>
    </cfRule>
  </conditionalFormatting>
  <conditionalFormatting sqref="C48">
    <cfRule type="containsText" dxfId="89" priority="92" operator="containsText" text="OC">
      <formula>NOT(ISERROR(SEARCH("OC",C48)))</formula>
    </cfRule>
  </conditionalFormatting>
  <conditionalFormatting sqref="P48">
    <cfRule type="cellIs" dxfId="88" priority="89" operator="greaterThan">
      <formula>0</formula>
    </cfRule>
  </conditionalFormatting>
  <conditionalFormatting sqref="C55">
    <cfRule type="containsText" dxfId="87" priority="88" operator="containsText" text="OS">
      <formula>NOT(ISERROR(SEARCH("OS",C55)))</formula>
    </cfRule>
  </conditionalFormatting>
  <conditionalFormatting sqref="C55">
    <cfRule type="containsText" dxfId="86" priority="83" operator="containsText" text="OS">
      <formula>NOT(ISERROR(SEARCH("OS",C55)))</formula>
    </cfRule>
    <cfRule type="containsText" dxfId="85" priority="84" operator="containsText" text="OC">
      <formula>NOT(ISERROR(SEARCH("OC",C55)))</formula>
    </cfRule>
  </conditionalFormatting>
  <conditionalFormatting sqref="I55">
    <cfRule type="containsText" dxfId="84" priority="86" operator="containsText" text="REYMATEK CP">
      <formula>NOT(ISERROR(SEARCH("REYMATEK CP",I55)))</formula>
    </cfRule>
    <cfRule type="containsText" dxfId="83" priority="87" operator="containsText" text="REGENEROL A">
      <formula>NOT(ISERROR(SEARCH("REGENEROL A",I55)))</formula>
    </cfRule>
  </conditionalFormatting>
  <conditionalFormatting sqref="C55">
    <cfRule type="containsText" dxfId="82" priority="85" operator="containsText" text="OC">
      <formula>NOT(ISERROR(SEARCH("OC",C55)))</formula>
    </cfRule>
  </conditionalFormatting>
  <conditionalFormatting sqref="P55">
    <cfRule type="cellIs" dxfId="81" priority="82" operator="greaterThan">
      <formula>0</formula>
    </cfRule>
  </conditionalFormatting>
  <conditionalFormatting sqref="C56">
    <cfRule type="containsText" dxfId="80" priority="81" operator="containsText" text="OS">
      <formula>NOT(ISERROR(SEARCH("OS",C56)))</formula>
    </cfRule>
  </conditionalFormatting>
  <conditionalFormatting sqref="C56">
    <cfRule type="containsText" dxfId="79" priority="76" operator="containsText" text="OS">
      <formula>NOT(ISERROR(SEARCH("OS",C56)))</formula>
    </cfRule>
    <cfRule type="containsText" dxfId="78" priority="77" operator="containsText" text="OC">
      <formula>NOT(ISERROR(SEARCH("OC",C56)))</formula>
    </cfRule>
  </conditionalFormatting>
  <conditionalFormatting sqref="I56">
    <cfRule type="containsText" dxfId="77" priority="79" operator="containsText" text="REYMATEK CP">
      <formula>NOT(ISERROR(SEARCH("REYMATEK CP",I56)))</formula>
    </cfRule>
    <cfRule type="containsText" dxfId="76" priority="80" operator="containsText" text="REGENEROL A">
      <formula>NOT(ISERROR(SEARCH("REGENEROL A",I56)))</formula>
    </cfRule>
  </conditionalFormatting>
  <conditionalFormatting sqref="C56">
    <cfRule type="containsText" dxfId="75" priority="78" operator="containsText" text="OC">
      <formula>NOT(ISERROR(SEARCH("OC",C56)))</formula>
    </cfRule>
  </conditionalFormatting>
  <conditionalFormatting sqref="P56">
    <cfRule type="cellIs" dxfId="74" priority="75" operator="greaterThan">
      <formula>0</formula>
    </cfRule>
  </conditionalFormatting>
  <conditionalFormatting sqref="C57:C59">
    <cfRule type="containsText" dxfId="73" priority="74" operator="containsText" text="OS">
      <formula>NOT(ISERROR(SEARCH("OS",C57)))</formula>
    </cfRule>
  </conditionalFormatting>
  <conditionalFormatting sqref="C57:C59">
    <cfRule type="containsText" dxfId="72" priority="69" operator="containsText" text="OS">
      <formula>NOT(ISERROR(SEARCH("OS",C57)))</formula>
    </cfRule>
    <cfRule type="containsText" dxfId="71" priority="70" operator="containsText" text="OC">
      <formula>NOT(ISERROR(SEARCH("OC",C57)))</formula>
    </cfRule>
  </conditionalFormatting>
  <conditionalFormatting sqref="I57:I58">
    <cfRule type="containsText" dxfId="70" priority="72" operator="containsText" text="REYMATEK CP">
      <formula>NOT(ISERROR(SEARCH("REYMATEK CP",I57)))</formula>
    </cfRule>
    <cfRule type="containsText" dxfId="69" priority="73" operator="containsText" text="REGENEROL A">
      <formula>NOT(ISERROR(SEARCH("REGENEROL A",I57)))</formula>
    </cfRule>
  </conditionalFormatting>
  <conditionalFormatting sqref="C57:C59">
    <cfRule type="containsText" dxfId="68" priority="71" operator="containsText" text="OC">
      <formula>NOT(ISERROR(SEARCH("OC",C57)))</formula>
    </cfRule>
  </conditionalFormatting>
  <conditionalFormatting sqref="P57:P59">
    <cfRule type="cellIs" dxfId="67" priority="68" operator="greaterThan">
      <formula>0</formula>
    </cfRule>
  </conditionalFormatting>
  <conditionalFormatting sqref="C62:C63">
    <cfRule type="containsText" dxfId="66" priority="67" operator="containsText" text="OS">
      <formula>NOT(ISERROR(SEARCH("OS",C62)))</formula>
    </cfRule>
  </conditionalFormatting>
  <conditionalFormatting sqref="C62:C63">
    <cfRule type="containsText" dxfId="65" priority="62" operator="containsText" text="OS">
      <formula>NOT(ISERROR(SEARCH("OS",C62)))</formula>
    </cfRule>
    <cfRule type="containsText" dxfId="64" priority="63" operator="containsText" text="OC">
      <formula>NOT(ISERROR(SEARCH("OC",C62)))</formula>
    </cfRule>
  </conditionalFormatting>
  <conditionalFormatting sqref="I62:I63">
    <cfRule type="containsText" dxfId="63" priority="65" operator="containsText" text="REYMATEK CP">
      <formula>NOT(ISERROR(SEARCH("REYMATEK CP",I62)))</formula>
    </cfRule>
    <cfRule type="containsText" dxfId="62" priority="66" operator="containsText" text="REGENEROL A">
      <formula>NOT(ISERROR(SEARCH("REGENEROL A",I62)))</formula>
    </cfRule>
  </conditionalFormatting>
  <conditionalFormatting sqref="C62:C63">
    <cfRule type="containsText" dxfId="61" priority="64" operator="containsText" text="OC">
      <formula>NOT(ISERROR(SEARCH("OC",C62)))</formula>
    </cfRule>
  </conditionalFormatting>
  <conditionalFormatting sqref="P62:P63">
    <cfRule type="cellIs" dxfId="60" priority="61" operator="greaterThan">
      <formula>0</formula>
    </cfRule>
  </conditionalFormatting>
  <conditionalFormatting sqref="C66">
    <cfRule type="containsText" dxfId="59" priority="60" operator="containsText" text="OS">
      <formula>NOT(ISERROR(SEARCH("OS",C66)))</formula>
    </cfRule>
  </conditionalFormatting>
  <conditionalFormatting sqref="C66">
    <cfRule type="containsText" dxfId="58" priority="55" operator="containsText" text="OS">
      <formula>NOT(ISERROR(SEARCH("OS",C66)))</formula>
    </cfRule>
    <cfRule type="containsText" dxfId="57" priority="56" operator="containsText" text="OC">
      <formula>NOT(ISERROR(SEARCH("OC",C66)))</formula>
    </cfRule>
  </conditionalFormatting>
  <conditionalFormatting sqref="I66">
    <cfRule type="containsText" dxfId="56" priority="58" operator="containsText" text="REYMATEK CP">
      <formula>NOT(ISERROR(SEARCH("REYMATEK CP",I66)))</formula>
    </cfRule>
    <cfRule type="containsText" dxfId="55" priority="59" operator="containsText" text="REGENEROL A">
      <formula>NOT(ISERROR(SEARCH("REGENEROL A",I66)))</formula>
    </cfRule>
  </conditionalFormatting>
  <conditionalFormatting sqref="C66">
    <cfRule type="containsText" dxfId="54" priority="57" operator="containsText" text="OC">
      <formula>NOT(ISERROR(SEARCH("OC",C66)))</formula>
    </cfRule>
  </conditionalFormatting>
  <conditionalFormatting sqref="P66">
    <cfRule type="cellIs" dxfId="53" priority="54" operator="greaterThan">
      <formula>0</formula>
    </cfRule>
  </conditionalFormatting>
  <conditionalFormatting sqref="K66">
    <cfRule type="containsText" dxfId="52" priority="52" operator="containsText" text="REYMATEK CP">
      <formula>NOT(ISERROR(SEARCH("REYMATEK CP",K66)))</formula>
    </cfRule>
    <cfRule type="containsText" dxfId="51" priority="53" operator="containsText" text="REGENEROL A">
      <formula>NOT(ISERROR(SEARCH("REGENEROL A",K66)))</formula>
    </cfRule>
  </conditionalFormatting>
  <conditionalFormatting sqref="C67:C68">
    <cfRule type="containsText" dxfId="50" priority="51" operator="containsText" text="OS">
      <formula>NOT(ISERROR(SEARCH("OS",C67)))</formula>
    </cfRule>
  </conditionalFormatting>
  <conditionalFormatting sqref="C67:C68">
    <cfRule type="containsText" dxfId="49" priority="46" operator="containsText" text="OS">
      <formula>NOT(ISERROR(SEARCH("OS",C67)))</formula>
    </cfRule>
    <cfRule type="containsText" dxfId="48" priority="47" operator="containsText" text="OC">
      <formula>NOT(ISERROR(SEARCH("OC",C67)))</formula>
    </cfRule>
  </conditionalFormatting>
  <conditionalFormatting sqref="I67:I68">
    <cfRule type="containsText" dxfId="47" priority="49" operator="containsText" text="REYMATEK CP">
      <formula>NOT(ISERROR(SEARCH("REYMATEK CP",I67)))</formula>
    </cfRule>
    <cfRule type="containsText" dxfId="46" priority="50" operator="containsText" text="REGENEROL A">
      <formula>NOT(ISERROR(SEARCH("REGENEROL A",I67)))</formula>
    </cfRule>
  </conditionalFormatting>
  <conditionalFormatting sqref="C67:C68">
    <cfRule type="containsText" dxfId="45" priority="48" operator="containsText" text="OC">
      <formula>NOT(ISERROR(SEARCH("OC",C67)))</formula>
    </cfRule>
  </conditionalFormatting>
  <conditionalFormatting sqref="P67:P68">
    <cfRule type="cellIs" dxfId="44" priority="45" operator="greaterThan">
      <formula>0</formula>
    </cfRule>
  </conditionalFormatting>
  <conditionalFormatting sqref="K67:K68">
    <cfRule type="containsText" dxfId="43" priority="43" operator="containsText" text="REYMATEK CP">
      <formula>NOT(ISERROR(SEARCH("REYMATEK CP",K67)))</formula>
    </cfRule>
    <cfRule type="containsText" dxfId="42" priority="44" operator="containsText" text="REGENEROL A">
      <formula>NOT(ISERROR(SEARCH("REGENEROL A",K67)))</formula>
    </cfRule>
  </conditionalFormatting>
  <conditionalFormatting sqref="P81:P83">
    <cfRule type="cellIs" dxfId="41" priority="42" operator="greaterThan">
      <formula>0</formula>
    </cfRule>
  </conditionalFormatting>
  <conditionalFormatting sqref="C81:C83">
    <cfRule type="containsText" dxfId="40" priority="41" operator="containsText" text="OS">
      <formula>NOT(ISERROR(SEARCH("OS",C81)))</formula>
    </cfRule>
  </conditionalFormatting>
  <conditionalFormatting sqref="C81:C83">
    <cfRule type="containsText" dxfId="39" priority="38" operator="containsText" text="OS">
      <formula>NOT(ISERROR(SEARCH("OS",C81)))</formula>
    </cfRule>
    <cfRule type="containsText" dxfId="38" priority="39" operator="containsText" text="OC">
      <formula>NOT(ISERROR(SEARCH("OC",C81)))</formula>
    </cfRule>
  </conditionalFormatting>
  <conditionalFormatting sqref="C81:C83">
    <cfRule type="containsText" dxfId="37" priority="40" operator="containsText" text="OC">
      <formula>NOT(ISERROR(SEARCH("OC",C81)))</formula>
    </cfRule>
  </conditionalFormatting>
  <conditionalFormatting sqref="C86">
    <cfRule type="containsText" dxfId="36" priority="37" operator="containsText" text="OS">
      <formula>NOT(ISERROR(SEARCH("OS",C86)))</formula>
    </cfRule>
  </conditionalFormatting>
  <conditionalFormatting sqref="C86">
    <cfRule type="containsText" dxfId="35" priority="34" operator="containsText" text="OS">
      <formula>NOT(ISERROR(SEARCH("OS",C86)))</formula>
    </cfRule>
    <cfRule type="containsText" dxfId="34" priority="35" operator="containsText" text="OC">
      <formula>NOT(ISERROR(SEARCH("OC",C86)))</formula>
    </cfRule>
  </conditionalFormatting>
  <conditionalFormatting sqref="C86">
    <cfRule type="containsText" dxfId="33" priority="36" operator="containsText" text="OC">
      <formula>NOT(ISERROR(SEARCH("OC",C86)))</formula>
    </cfRule>
  </conditionalFormatting>
  <conditionalFormatting sqref="C88:C89">
    <cfRule type="containsText" dxfId="32" priority="33" operator="containsText" text="OS">
      <formula>NOT(ISERROR(SEARCH("OS",C88)))</formula>
    </cfRule>
  </conditionalFormatting>
  <conditionalFormatting sqref="C88:C89">
    <cfRule type="containsText" dxfId="31" priority="30" operator="containsText" text="OS">
      <formula>NOT(ISERROR(SEARCH("OS",C88)))</formula>
    </cfRule>
    <cfRule type="containsText" dxfId="30" priority="31" operator="containsText" text="OC">
      <formula>NOT(ISERROR(SEARCH("OC",C88)))</formula>
    </cfRule>
  </conditionalFormatting>
  <conditionalFormatting sqref="C88:C89">
    <cfRule type="containsText" dxfId="29" priority="32" operator="containsText" text="OC">
      <formula>NOT(ISERROR(SEARCH("OC",C88)))</formula>
    </cfRule>
  </conditionalFormatting>
  <conditionalFormatting sqref="P88:P89">
    <cfRule type="cellIs" dxfId="28" priority="29" operator="greaterThan">
      <formula>0</formula>
    </cfRule>
  </conditionalFormatting>
  <conditionalFormatting sqref="C91:C92">
    <cfRule type="containsText" dxfId="27" priority="28" operator="containsText" text="OS">
      <formula>NOT(ISERROR(SEARCH("OS",C91)))</formula>
    </cfRule>
  </conditionalFormatting>
  <conditionalFormatting sqref="C91:C92">
    <cfRule type="containsText" dxfId="26" priority="25" operator="containsText" text="OS">
      <formula>NOT(ISERROR(SEARCH("OS",C91)))</formula>
    </cfRule>
    <cfRule type="containsText" dxfId="25" priority="26" operator="containsText" text="OC">
      <formula>NOT(ISERROR(SEARCH("OC",C91)))</formula>
    </cfRule>
  </conditionalFormatting>
  <conditionalFormatting sqref="C91:C92">
    <cfRule type="containsText" dxfId="24" priority="27" operator="containsText" text="OC">
      <formula>NOT(ISERROR(SEARCH("OC",C91)))</formula>
    </cfRule>
  </conditionalFormatting>
  <conditionalFormatting sqref="P91:P92">
    <cfRule type="cellIs" dxfId="23" priority="24" operator="greaterThan">
      <formula>0</formula>
    </cfRule>
  </conditionalFormatting>
  <conditionalFormatting sqref="C96:C98">
    <cfRule type="containsText" dxfId="22" priority="23" operator="containsText" text="OS">
      <formula>NOT(ISERROR(SEARCH("OS",C96)))</formula>
    </cfRule>
  </conditionalFormatting>
  <conditionalFormatting sqref="C96:C98">
    <cfRule type="containsText" dxfId="21" priority="20" operator="containsText" text="OS">
      <formula>NOT(ISERROR(SEARCH("OS",C96)))</formula>
    </cfRule>
    <cfRule type="containsText" dxfId="20" priority="21" operator="containsText" text="OC">
      <formula>NOT(ISERROR(SEARCH("OC",C96)))</formula>
    </cfRule>
  </conditionalFormatting>
  <conditionalFormatting sqref="C96:C98">
    <cfRule type="containsText" dxfId="19" priority="22" operator="containsText" text="OC">
      <formula>NOT(ISERROR(SEARCH("OC",C96)))</formula>
    </cfRule>
  </conditionalFormatting>
  <conditionalFormatting sqref="P96:P98">
    <cfRule type="cellIs" dxfId="18" priority="19" operator="greaterThan">
      <formula>0</formula>
    </cfRule>
  </conditionalFormatting>
  <conditionalFormatting sqref="C100:C101">
    <cfRule type="containsText" dxfId="17" priority="18" operator="containsText" text="OS">
      <formula>NOT(ISERROR(SEARCH("OS",C100)))</formula>
    </cfRule>
  </conditionalFormatting>
  <conditionalFormatting sqref="C100:C101">
    <cfRule type="containsText" dxfId="16" priority="15" operator="containsText" text="OS">
      <formula>NOT(ISERROR(SEARCH("OS",C100)))</formula>
    </cfRule>
    <cfRule type="containsText" dxfId="15" priority="16" operator="containsText" text="OC">
      <formula>NOT(ISERROR(SEARCH("OC",C100)))</formula>
    </cfRule>
  </conditionalFormatting>
  <conditionalFormatting sqref="C100:C101">
    <cfRule type="containsText" dxfId="14" priority="17" operator="containsText" text="OC">
      <formula>NOT(ISERROR(SEARCH("OC",C100)))</formula>
    </cfRule>
  </conditionalFormatting>
  <conditionalFormatting sqref="P100:P101">
    <cfRule type="cellIs" dxfId="13" priority="14" operator="greaterThan">
      <formula>0</formula>
    </cfRule>
  </conditionalFormatting>
  <conditionalFormatting sqref="C105:C109">
    <cfRule type="containsText" dxfId="12" priority="13" operator="containsText" text="OS">
      <formula>NOT(ISERROR(SEARCH("OS",C105)))</formula>
    </cfRule>
  </conditionalFormatting>
  <conditionalFormatting sqref="C105:C109">
    <cfRule type="containsText" dxfId="11" priority="10" operator="containsText" text="OS">
      <formula>NOT(ISERROR(SEARCH("OS",C105)))</formula>
    </cfRule>
    <cfRule type="containsText" dxfId="10" priority="11" operator="containsText" text="OC">
      <formula>NOT(ISERROR(SEARCH("OC",C105)))</formula>
    </cfRule>
  </conditionalFormatting>
  <conditionalFormatting sqref="C105:C109">
    <cfRule type="containsText" dxfId="9" priority="12" operator="containsText" text="OC">
      <formula>NOT(ISERROR(SEARCH("OC",C105)))</formula>
    </cfRule>
  </conditionalFormatting>
  <conditionalFormatting sqref="P105:P107">
    <cfRule type="cellIs" dxfId="8" priority="9" operator="greaterThan">
      <formula>0</formula>
    </cfRule>
  </conditionalFormatting>
  <conditionalFormatting sqref="C357:C359">
    <cfRule type="containsText" dxfId="7" priority="8" operator="containsText" text="OC">
      <formula>NOT(ISERROR(SEARCH("OC",C357)))</formula>
    </cfRule>
  </conditionalFormatting>
  <conditionalFormatting sqref="C357:C359">
    <cfRule type="containsText" dxfId="6" priority="7" operator="containsText" text="OS">
      <formula>NOT(ISERROR(SEARCH("OS",C357)))</formula>
    </cfRule>
  </conditionalFormatting>
  <conditionalFormatting sqref="C363:C366">
    <cfRule type="containsText" dxfId="5" priority="6" operator="containsText" text="OC">
      <formula>NOT(ISERROR(SEARCH("OC",C363)))</formula>
    </cfRule>
  </conditionalFormatting>
  <conditionalFormatting sqref="C363:C366">
    <cfRule type="containsText" dxfId="4" priority="5" operator="containsText" text="OS">
      <formula>NOT(ISERROR(SEARCH("OS",C363)))</formula>
    </cfRule>
  </conditionalFormatting>
  <conditionalFormatting sqref="C368:C369">
    <cfRule type="containsText" dxfId="3" priority="4" operator="containsText" text="OC">
      <formula>NOT(ISERROR(SEARCH("OC",C368)))</formula>
    </cfRule>
  </conditionalFormatting>
  <conditionalFormatting sqref="C368:C369">
    <cfRule type="containsText" dxfId="2" priority="3" operator="containsText" text="OS">
      <formula>NOT(ISERROR(SEARCH("OS",C368)))</formula>
    </cfRule>
  </conditionalFormatting>
  <conditionalFormatting sqref="C402:C403">
    <cfRule type="containsText" dxfId="1" priority="2" operator="containsText" text="OC">
      <formula>NOT(ISERROR(SEARCH("OC",C402)))</formula>
    </cfRule>
  </conditionalFormatting>
  <conditionalFormatting sqref="C402:C403">
    <cfRule type="containsText" dxfId="0" priority="1" operator="containsText" text="OS">
      <formula>NOT(ISERROR(SEARCH("OS",C402)))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998F4-46FA-4412-BDC6-19165E240EFF}">
  <sheetPr codeName="Hoja3"/>
  <dimension ref="A1:T58"/>
  <sheetViews>
    <sheetView tabSelected="1" workbookViewId="0">
      <selection activeCell="L11" sqref="L11"/>
    </sheetView>
  </sheetViews>
  <sheetFormatPr baseColWidth="10" defaultRowHeight="14.4"/>
  <cols>
    <col min="3" max="3" width="27" customWidth="1"/>
    <col min="4" max="4" width="20.77734375" customWidth="1"/>
    <col min="9" max="9" width="18" customWidth="1"/>
    <col min="12" max="12" width="19.44140625" customWidth="1"/>
    <col min="14" max="14" width="15.5546875" bestFit="1" customWidth="1"/>
  </cols>
  <sheetData>
    <row r="1" spans="1:16" ht="57.6">
      <c r="A1" s="90">
        <v>44580</v>
      </c>
      <c r="B1" s="91" t="s">
        <v>9</v>
      </c>
      <c r="C1" s="92" t="s">
        <v>276</v>
      </c>
      <c r="D1" s="93" t="s">
        <v>4</v>
      </c>
      <c r="E1" s="94" t="s">
        <v>12</v>
      </c>
      <c r="F1" s="95" t="s">
        <v>10</v>
      </c>
      <c r="G1" s="96" t="s">
        <v>457</v>
      </c>
      <c r="H1" s="97" t="s">
        <v>458</v>
      </c>
      <c r="I1" s="98" t="s">
        <v>459</v>
      </c>
      <c r="J1" s="99" t="s">
        <v>460</v>
      </c>
      <c r="K1" s="100" t="s">
        <v>461</v>
      </c>
      <c r="L1" s="101" t="s">
        <v>462</v>
      </c>
      <c r="M1" s="102" t="s">
        <v>463</v>
      </c>
      <c r="N1" s="103">
        <v>0</v>
      </c>
      <c r="O1">
        <v>0</v>
      </c>
    </row>
    <row r="2" spans="1:16" ht="15.6">
      <c r="A2" s="104"/>
      <c r="B2" s="24"/>
      <c r="G2" s="104"/>
      <c r="P2" t="s">
        <v>26</v>
      </c>
    </row>
    <row r="3" spans="1:16" ht="15.6">
      <c r="A3" s="104">
        <v>45292</v>
      </c>
      <c r="B3" s="24" t="s">
        <v>26</v>
      </c>
      <c r="C3" t="s">
        <v>277</v>
      </c>
      <c r="D3" t="s">
        <v>25</v>
      </c>
      <c r="E3">
        <v>0.7</v>
      </c>
      <c r="F3">
        <v>1</v>
      </c>
      <c r="G3" s="104">
        <v>45293</v>
      </c>
      <c r="H3" t="s">
        <v>466</v>
      </c>
      <c r="I3">
        <v>1</v>
      </c>
      <c r="L3">
        <v>89.986800000000002</v>
      </c>
    </row>
    <row r="4" spans="1:16" ht="15.6">
      <c r="A4" s="104"/>
      <c r="B4" s="24"/>
      <c r="G4" s="104"/>
      <c r="H4" s="104"/>
    </row>
    <row r="5" spans="1:16" ht="15.6">
      <c r="A5" s="104">
        <v>45296</v>
      </c>
      <c r="B5" s="24" t="s">
        <v>26</v>
      </c>
      <c r="C5" s="24" t="s">
        <v>277</v>
      </c>
      <c r="D5" t="s">
        <v>25</v>
      </c>
      <c r="E5">
        <v>0.7</v>
      </c>
      <c r="F5">
        <v>1</v>
      </c>
      <c r="G5" s="104">
        <v>45297</v>
      </c>
      <c r="H5" t="s">
        <v>468</v>
      </c>
      <c r="I5" t="s">
        <v>475</v>
      </c>
      <c r="J5" t="s">
        <v>474</v>
      </c>
      <c r="L5">
        <v>89.986800000000002</v>
      </c>
    </row>
    <row r="6" spans="1:16" ht="15.6">
      <c r="A6" s="104"/>
      <c r="B6" s="24"/>
      <c r="G6" s="104"/>
    </row>
    <row r="7" spans="1:16" ht="15.6">
      <c r="A7" s="104">
        <v>45296</v>
      </c>
      <c r="B7" s="24" t="s">
        <v>26</v>
      </c>
      <c r="C7" t="s">
        <v>277</v>
      </c>
      <c r="D7" t="s">
        <v>25</v>
      </c>
      <c r="E7">
        <v>0.7</v>
      </c>
      <c r="F7">
        <v>1</v>
      </c>
      <c r="G7" s="104">
        <v>45297</v>
      </c>
      <c r="H7" t="s">
        <v>468</v>
      </c>
      <c r="I7" t="s">
        <v>475</v>
      </c>
      <c r="J7" s="104">
        <v>45629</v>
      </c>
      <c r="L7">
        <v>89.986800000000002</v>
      </c>
      <c r="M7" s="104"/>
    </row>
    <row r="8" spans="1:16" ht="15.6">
      <c r="A8" s="104">
        <v>44564</v>
      </c>
      <c r="B8" s="24" t="s">
        <v>26</v>
      </c>
      <c r="C8" t="s">
        <v>277</v>
      </c>
      <c r="D8" t="s">
        <v>25</v>
      </c>
      <c r="E8">
        <v>0.7</v>
      </c>
      <c r="F8">
        <v>366</v>
      </c>
      <c r="G8" s="104">
        <v>44930</v>
      </c>
      <c r="H8" t="s">
        <v>466</v>
      </c>
      <c r="L8">
        <v>89.986800000000002</v>
      </c>
    </row>
    <row r="9" spans="1:16" ht="15.6">
      <c r="A9" s="104"/>
      <c r="B9" s="51"/>
      <c r="G9" s="104">
        <v>45294</v>
      </c>
      <c r="H9" t="s">
        <v>466</v>
      </c>
      <c r="I9">
        <f ca="1">IF(H9="Deuda", SUM(G9, -TODAY()), IF(H9="Plazo", SUM(G9, -TODAY()), " "))</f>
        <v>0</v>
      </c>
    </row>
    <row r="10" spans="1:16" ht="15.6">
      <c r="A10" s="104"/>
      <c r="B10" s="51"/>
      <c r="E10" s="106"/>
      <c r="G10" s="104">
        <v>45296</v>
      </c>
      <c r="H10" t="s">
        <v>466</v>
      </c>
      <c r="I10">
        <f t="shared" ref="I10:I11" ca="1" si="0">IF(H10="Deuda", SUM(G10, -TODAY()), IF(H10="Plazo", SUM(G10, -TODAY()), " "))</f>
        <v>2</v>
      </c>
    </row>
    <row r="11" spans="1:16" ht="15.6">
      <c r="A11" s="104"/>
      <c r="B11" s="51"/>
      <c r="G11" s="104">
        <v>45297</v>
      </c>
      <c r="H11" t="s">
        <v>466</v>
      </c>
      <c r="I11">
        <f t="shared" ca="1" si="0"/>
        <v>3</v>
      </c>
      <c r="N11" s="105"/>
    </row>
    <row r="12" spans="1:16" ht="15.6">
      <c r="A12" s="104"/>
      <c r="B12" s="51"/>
      <c r="G12" s="104">
        <v>45298</v>
      </c>
      <c r="H12" t="s">
        <v>466</v>
      </c>
      <c r="I12">
        <f ca="1">IF(H9="Deuda", SUM(G9, -TODAY()), IF(H9="Plazo", SUM(G9, -TODAY()), " "))</f>
        <v>0</v>
      </c>
    </row>
    <row r="13" spans="1:16" ht="15.6">
      <c r="A13" s="104"/>
      <c r="B13" s="51"/>
      <c r="G13" s="104">
        <v>45299</v>
      </c>
      <c r="H13" t="s">
        <v>466</v>
      </c>
      <c r="M13" s="104"/>
    </row>
    <row r="14" spans="1:16" ht="15.6">
      <c r="A14" s="104"/>
      <c r="B14" s="51"/>
      <c r="G14" s="104">
        <v>45300</v>
      </c>
      <c r="H14" t="s">
        <v>466</v>
      </c>
    </row>
    <row r="15" spans="1:16" ht="15.6">
      <c r="A15" s="104">
        <v>45296</v>
      </c>
      <c r="B15" s="24" t="s">
        <v>26</v>
      </c>
      <c r="C15" t="s">
        <v>277</v>
      </c>
      <c r="D15" t="s">
        <v>25</v>
      </c>
      <c r="E15">
        <v>0.7</v>
      </c>
      <c r="F15">
        <v>1</v>
      </c>
      <c r="G15" s="104">
        <v>45297</v>
      </c>
      <c r="H15" t="s">
        <v>472</v>
      </c>
      <c r="I15" t="s">
        <v>473</v>
      </c>
      <c r="L15">
        <v>89.986800000000002</v>
      </c>
    </row>
    <row r="16" spans="1:16" ht="15.6">
      <c r="A16" s="104">
        <v>45296</v>
      </c>
      <c r="B16" s="24" t="s">
        <v>26</v>
      </c>
      <c r="C16" t="s">
        <v>277</v>
      </c>
      <c r="D16" t="s">
        <v>25</v>
      </c>
      <c r="E16">
        <v>0.7</v>
      </c>
      <c r="F16">
        <v>1</v>
      </c>
      <c r="G16" s="104">
        <v>45297</v>
      </c>
      <c r="H16" t="s">
        <v>472</v>
      </c>
      <c r="I16" t="s">
        <v>473</v>
      </c>
      <c r="L16">
        <v>89.986800000000002</v>
      </c>
    </row>
    <row r="17" spans="1:20" ht="15.6">
      <c r="A17" s="104"/>
      <c r="B17" s="51"/>
      <c r="G17" s="104"/>
      <c r="M17" s="104"/>
    </row>
    <row r="18" spans="1:20" ht="15.6">
      <c r="A18" s="104">
        <v>44564</v>
      </c>
      <c r="B18" s="24" t="s">
        <v>26</v>
      </c>
      <c r="C18" t="s">
        <v>277</v>
      </c>
      <c r="D18" t="s">
        <v>25</v>
      </c>
      <c r="E18">
        <v>0.7</v>
      </c>
      <c r="F18">
        <v>366</v>
      </c>
      <c r="G18" s="104">
        <v>44930</v>
      </c>
      <c r="H18" t="s">
        <v>468</v>
      </c>
      <c r="I18" t="s">
        <v>464</v>
      </c>
      <c r="J18" t="s">
        <v>467</v>
      </c>
      <c r="L18">
        <v>89.986800000000002</v>
      </c>
    </row>
    <row r="19" spans="1:20" ht="15.6">
      <c r="A19" s="104"/>
      <c r="B19" s="40"/>
      <c r="H19" s="104"/>
      <c r="M19" s="104"/>
    </row>
    <row r="20" spans="1:20" ht="15.6">
      <c r="A20" s="104"/>
      <c r="B20" s="24"/>
      <c r="G20" s="104"/>
    </row>
    <row r="21" spans="1:20" ht="15.6">
      <c r="A21" s="104">
        <v>44564</v>
      </c>
      <c r="B21" s="24" t="s">
        <v>26</v>
      </c>
      <c r="C21" t="s">
        <v>277</v>
      </c>
      <c r="D21" t="s">
        <v>25</v>
      </c>
      <c r="E21">
        <v>0.7</v>
      </c>
      <c r="F21">
        <v>366</v>
      </c>
      <c r="G21" s="104">
        <v>44930</v>
      </c>
      <c r="H21" t="s">
        <v>466</v>
      </c>
      <c r="I21" t="s">
        <v>464</v>
      </c>
      <c r="J21" t="s">
        <v>469</v>
      </c>
      <c r="L21">
        <v>89.986800000000002</v>
      </c>
    </row>
    <row r="22" spans="1:20" ht="15.6">
      <c r="A22" s="104"/>
      <c r="B22" s="24"/>
      <c r="G22" s="104"/>
      <c r="T22">
        <v>0</v>
      </c>
    </row>
    <row r="23" spans="1:20" ht="15.6">
      <c r="A23" s="104"/>
      <c r="B23" s="40"/>
      <c r="G23" s="104"/>
      <c r="H23" s="104"/>
      <c r="S23">
        <v>3</v>
      </c>
    </row>
    <row r="24" spans="1:20" ht="15.6">
      <c r="A24" s="104">
        <v>44564</v>
      </c>
      <c r="B24" s="24" t="s">
        <v>26</v>
      </c>
      <c r="C24" t="s">
        <v>277</v>
      </c>
      <c r="D24" t="s">
        <v>25</v>
      </c>
      <c r="E24">
        <v>0.7</v>
      </c>
      <c r="F24">
        <v>366</v>
      </c>
      <c r="G24" s="104">
        <v>44930</v>
      </c>
      <c r="H24" t="s">
        <v>468</v>
      </c>
      <c r="J24" t="s">
        <v>467</v>
      </c>
      <c r="L24">
        <v>89.986800000000002</v>
      </c>
    </row>
    <row r="25" spans="1:20" ht="15.6">
      <c r="A25" s="104"/>
      <c r="B25" s="51"/>
      <c r="G25" s="104"/>
      <c r="H25" s="104"/>
      <c r="I25" s="104"/>
    </row>
    <row r="26" spans="1:20" ht="15.6">
      <c r="A26" s="104">
        <v>44564</v>
      </c>
      <c r="B26" s="24" t="s">
        <v>26</v>
      </c>
      <c r="C26" t="s">
        <v>277</v>
      </c>
      <c r="D26" t="s">
        <v>25</v>
      </c>
      <c r="E26">
        <v>0.7</v>
      </c>
      <c r="F26">
        <v>366</v>
      </c>
      <c r="G26" s="104">
        <v>44930</v>
      </c>
      <c r="H26" t="s">
        <v>466</v>
      </c>
      <c r="I26" s="104">
        <v>45294</v>
      </c>
      <c r="L26">
        <v>89.986800000000002</v>
      </c>
    </row>
    <row r="27" spans="1:20" ht="15.6">
      <c r="A27" s="104"/>
      <c r="B27" s="51"/>
      <c r="H27" s="104"/>
    </row>
    <row r="28" spans="1:20" ht="15.6">
      <c r="A28" s="104">
        <v>44564</v>
      </c>
      <c r="B28" s="24" t="s">
        <v>26</v>
      </c>
      <c r="C28" t="s">
        <v>277</v>
      </c>
      <c r="D28" t="s">
        <v>25</v>
      </c>
      <c r="E28">
        <v>0.7</v>
      </c>
      <c r="F28">
        <v>366</v>
      </c>
      <c r="H28" t="s">
        <v>466</v>
      </c>
    </row>
    <row r="29" spans="1:20">
      <c r="L29" s="105">
        <v>0</v>
      </c>
      <c r="M29" t="s">
        <v>466</v>
      </c>
      <c r="N29" s="104">
        <v>45294</v>
      </c>
      <c r="Q29">
        <v>0</v>
      </c>
    </row>
    <row r="30" spans="1:20" ht="15.6">
      <c r="A30" s="104"/>
      <c r="B30" s="51"/>
      <c r="H30" s="104"/>
    </row>
    <row r="31" spans="1:20" ht="15.6">
      <c r="A31" s="104">
        <v>44564</v>
      </c>
      <c r="B31" s="24" t="s">
        <v>26</v>
      </c>
      <c r="C31" t="s">
        <v>277</v>
      </c>
      <c r="D31" t="s">
        <v>25</v>
      </c>
      <c r="E31">
        <v>0.7</v>
      </c>
      <c r="F31">
        <v>366</v>
      </c>
      <c r="H31" t="s">
        <v>466</v>
      </c>
    </row>
    <row r="32" spans="1:20" ht="15.6">
      <c r="A32" s="104"/>
      <c r="B32" s="51"/>
      <c r="H32" s="104"/>
    </row>
    <row r="33" spans="1:19" ht="15.6">
      <c r="A33" s="104">
        <v>44564</v>
      </c>
      <c r="B33" s="24" t="s">
        <v>26</v>
      </c>
      <c r="C33" t="s">
        <v>277</v>
      </c>
      <c r="D33" t="s">
        <v>25</v>
      </c>
      <c r="E33">
        <v>0.7</v>
      </c>
      <c r="F33">
        <v>366</v>
      </c>
      <c r="G33" s="104">
        <v>44930</v>
      </c>
      <c r="H33" t="s">
        <v>466</v>
      </c>
      <c r="I33" s="104">
        <v>364</v>
      </c>
      <c r="L33" s="105">
        <v>89.986800000000002</v>
      </c>
      <c r="N33" s="105">
        <v>0</v>
      </c>
      <c r="O33" t="s">
        <v>466</v>
      </c>
      <c r="P33" s="104">
        <v>45294</v>
      </c>
      <c r="S33">
        <v>0</v>
      </c>
    </row>
    <row r="34" spans="1:19" ht="15.6">
      <c r="A34" s="104"/>
      <c r="B34" s="51"/>
      <c r="G34" s="104"/>
      <c r="H34" s="104"/>
    </row>
    <row r="36" spans="1:19" ht="15.6">
      <c r="A36" s="104">
        <v>44564</v>
      </c>
      <c r="B36" s="24" t="s">
        <v>26</v>
      </c>
      <c r="C36" t="s">
        <v>277</v>
      </c>
      <c r="D36" t="s">
        <v>25</v>
      </c>
      <c r="E36">
        <v>0.7</v>
      </c>
      <c r="F36">
        <v>366</v>
      </c>
      <c r="G36" s="104">
        <v>45295</v>
      </c>
      <c r="H36" t="s">
        <v>468</v>
      </c>
      <c r="I36" t="s">
        <v>471</v>
      </c>
      <c r="J36" t="s">
        <v>470</v>
      </c>
      <c r="K36" s="105"/>
      <c r="L36">
        <v>89.986800000000002</v>
      </c>
      <c r="P36">
        <v>0</v>
      </c>
    </row>
    <row r="37" spans="1:19" ht="15.6">
      <c r="A37" s="104"/>
      <c r="B37" s="51"/>
      <c r="G37" s="104"/>
    </row>
    <row r="39" spans="1:19" ht="15.6">
      <c r="A39" s="104">
        <v>45295</v>
      </c>
      <c r="B39" s="24" t="s">
        <v>30</v>
      </c>
      <c r="C39" t="s">
        <v>278</v>
      </c>
      <c r="D39" t="s">
        <v>31</v>
      </c>
      <c r="E39" t="s">
        <v>27</v>
      </c>
      <c r="F39">
        <v>365</v>
      </c>
      <c r="G39" s="104">
        <v>46025</v>
      </c>
      <c r="H39" s="104" t="s">
        <v>466</v>
      </c>
      <c r="I39">
        <v>-731</v>
      </c>
      <c r="L39">
        <v>21.499600000000001</v>
      </c>
    </row>
    <row r="41" spans="1:19" ht="15.6">
      <c r="A41" s="104"/>
      <c r="B41" s="40"/>
      <c r="G41" s="104"/>
    </row>
    <row r="43" spans="1:19" ht="15.6">
      <c r="A43" s="104">
        <v>45292</v>
      </c>
      <c r="B43" s="24" t="s">
        <v>26</v>
      </c>
      <c r="C43" t="s">
        <v>277</v>
      </c>
      <c r="D43" t="s">
        <v>25</v>
      </c>
      <c r="E43">
        <v>0.7</v>
      </c>
      <c r="F43">
        <v>1</v>
      </c>
      <c r="G43" s="104">
        <v>45293</v>
      </c>
      <c r="H43" t="s">
        <v>466</v>
      </c>
      <c r="I43">
        <v>1</v>
      </c>
      <c r="L43">
        <v>89.986800000000002</v>
      </c>
      <c r="N43">
        <v>89.986800000000002</v>
      </c>
    </row>
    <row r="44" spans="1:19" ht="15.6">
      <c r="A44" s="104"/>
      <c r="B44" s="40"/>
      <c r="H44" s="104"/>
    </row>
    <row r="46" spans="1:19" ht="15.6">
      <c r="A46" s="104"/>
      <c r="B46" s="40"/>
      <c r="H46" s="104"/>
    </row>
    <row r="49" spans="1:7" ht="15.6">
      <c r="A49" s="104"/>
      <c r="B49" s="40"/>
    </row>
    <row r="51" spans="1:7" ht="15.6">
      <c r="A51" s="104"/>
      <c r="B51" s="40"/>
      <c r="G51" s="104"/>
    </row>
    <row r="53" spans="1:7" ht="15.6">
      <c r="A53" s="104"/>
      <c r="B53" s="40"/>
      <c r="G53" s="104"/>
    </row>
    <row r="54" spans="1:7" ht="15.6">
      <c r="A54" s="104"/>
      <c r="B54" s="40"/>
      <c r="G54" s="104"/>
    </row>
    <row r="56" spans="1:7" ht="15.6">
      <c r="A56" s="104"/>
      <c r="B56" s="40"/>
      <c r="G56" s="104"/>
    </row>
    <row r="58" spans="1:7" ht="15.6">
      <c r="A58" s="104"/>
      <c r="B58" s="40"/>
      <c r="G58" s="10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uma_prueba">
                <anchor moveWithCells="1" sizeWithCells="1">
                  <from>
                    <xdr:col>14</xdr:col>
                    <xdr:colOff>541020</xdr:colOff>
                    <xdr:row>0</xdr:row>
                    <xdr:rowOff>83820</xdr:rowOff>
                  </from>
                  <to>
                    <xdr:col>17</xdr:col>
                    <xdr:colOff>175260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AA7DE-9675-4307-B286-2E3241C6034A}">
  <sheetPr codeName="Hoja4"/>
  <dimension ref="B1:E5"/>
  <sheetViews>
    <sheetView topLeftCell="A10" workbookViewId="0">
      <selection activeCell="E2" sqref="E2"/>
    </sheetView>
  </sheetViews>
  <sheetFormatPr baseColWidth="10" defaultRowHeight="14.4"/>
  <sheetData>
    <row r="1" spans="2:5">
      <c r="C1" s="104"/>
    </row>
    <row r="2" spans="2:5">
      <c r="B2" s="104">
        <v>45293</v>
      </c>
      <c r="C2" s="104">
        <v>45293</v>
      </c>
      <c r="D2" s="104"/>
      <c r="E2" t="s">
        <v>465</v>
      </c>
    </row>
    <row r="5" spans="2:5">
      <c r="C5" s="10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772EB-9144-42CF-B803-A3AE492FE646}">
  <sheetPr codeName="Hoja1"/>
  <dimension ref="A1"/>
  <sheetViews>
    <sheetView workbookViewId="0">
      <selection activeCell="C28" sqref="C28"/>
    </sheetView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ventas</vt:lpstr>
      <vt:lpstr>cobros</vt:lpstr>
      <vt:lpstr>Hoja4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GIGABYTE</dc:creator>
  <cp:lastModifiedBy>GIGABYTE</cp:lastModifiedBy>
  <dcterms:created xsi:type="dcterms:W3CDTF">2024-01-03T15:00:52Z</dcterms:created>
  <dcterms:modified xsi:type="dcterms:W3CDTF">2024-01-04T04:40:01Z</dcterms:modified>
</cp:coreProperties>
</file>